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igh\Documents\UHD MSDA\STAT 5307 Time Series\Project\"/>
    </mc:Choice>
  </mc:AlternateContent>
  <xr:revisionPtr revIDLastSave="0" documentId="13_ncr:1_{6E065BE5-783F-4C3F-9EBA-633D507EED53}" xr6:coauthVersionLast="47" xr6:coauthVersionMax="47" xr10:uidLastSave="{00000000-0000-0000-0000-000000000000}"/>
  <bookViews>
    <workbookView xWindow="-108" yWindow="12852" windowWidth="23256" windowHeight="12456" activeTab="2" xr2:uid="{350407C6-8D11-4ABB-B357-0189526E10E3}"/>
  </bookViews>
  <sheets>
    <sheet name="Model comparision" sheetId="1" r:id="rId1"/>
    <sheet name="Seasonal model comparision" sheetId="5" r:id="rId2"/>
    <sheet name="Future Forecast" sheetId="8" r:id="rId3"/>
    <sheet name="S Model with A_L Predictions" sheetId="6" r:id="rId4"/>
    <sheet name="S Model Without A_L Predictions" sheetId="7" r:id="rId5"/>
    <sheet name="Model with A_L Predictions" sheetId="3" r:id="rId6"/>
    <sheet name="Model without A_L Prediction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8" l="1" a="1"/>
  <c r="E14" i="8" s="1"/>
  <c r="F5" i="8"/>
  <c r="F3" i="8"/>
  <c r="F4" i="8"/>
  <c r="F2" i="8"/>
  <c r="E3" i="8"/>
  <c r="E4" i="8"/>
  <c r="E5" i="8"/>
  <c r="E2" i="8"/>
  <c r="F30" i="5" a="1"/>
  <c r="F30" i="5" s="1"/>
  <c r="E30" i="5" a="1"/>
  <c r="E30" i="5" s="1"/>
  <c r="F20" i="5"/>
  <c r="E18" i="5"/>
  <c r="F2" i="5"/>
  <c r="E2" i="5"/>
  <c r="E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1" i="5"/>
  <c r="F22" i="5"/>
  <c r="F23" i="5"/>
  <c r="F24" i="5"/>
  <c r="F25" i="5"/>
  <c r="F26" i="5"/>
  <c r="F27" i="5"/>
  <c r="F28" i="5"/>
  <c r="F29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F30" i="1" a="1"/>
  <c r="F30" i="1" s="1"/>
  <c r="E30" i="1" a="1"/>
  <c r="E30" i="1" s="1"/>
  <c r="F18" i="1"/>
  <c r="F7" i="1"/>
  <c r="F3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F14" i="8" l="1" a="1"/>
  <c r="F14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<sst xmlns="http://schemas.openxmlformats.org/spreadsheetml/2006/main" count="57" uniqueCount="13">
  <si>
    <t>Dates</t>
  </si>
  <si>
    <t>Actual Product Supplied</t>
  </si>
  <si>
    <t>.</t>
  </si>
  <si>
    <t>Model 1 without AO/LS Predictions</t>
  </si>
  <si>
    <t>Model 2 with AO/LS Predictions</t>
  </si>
  <si>
    <t xml:space="preserve">Model 1 Error % </t>
  </si>
  <si>
    <t xml:space="preserve">Model  2 Error % </t>
  </si>
  <si>
    <t>Future Dates</t>
  </si>
  <si>
    <t>Actual Values</t>
  </si>
  <si>
    <t>ARIMA(5,1,1) Predictions</t>
  </si>
  <si>
    <t>SARIMA(0,1,1)(0,1,1)52 Predictions</t>
  </si>
  <si>
    <t>x</t>
  </si>
  <si>
    <t>Absolute Sum of Error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</si>
</sst>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b/>
      <sz val="10"/>
      <color rgb="FF112277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 style="medium">
        <color rgb="FFC1C1C1"/>
      </top>
      <bottom style="medium">
        <color rgb="FFB0B7BB"/>
      </bottom>
      <diagonal/>
    </border>
    <border>
      <left/>
      <right style="medium">
        <color rgb="FFC1C1C1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/>
      <right style="medium">
        <color rgb="FFC1C1C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0" fillId="2" borderId="0" xfId="0" applyFill="1"/>
    <xf numFmtId="164" fontId="2" fillId="0" borderId="0" xfId="2" applyNumberFormat="1"/>
    <xf numFmtId="0" fontId="2" fillId="0" borderId="0" xfId="2"/>
    <xf numFmtId="164" fontId="2" fillId="0" borderId="0" xfId="2" applyNumberFormat="1"/>
    <xf numFmtId="0" fontId="4" fillId="4" borderId="1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4" fillId="4" borderId="3" xfId="0" applyFont="1" applyFill="1" applyBorder="1" applyAlignment="1">
      <alignment horizontal="right" vertical="top" wrapText="1"/>
    </xf>
    <xf numFmtId="0" fontId="4" fillId="4" borderId="4" xfId="0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right" vertical="top" wrapText="1"/>
    </xf>
    <xf numFmtId="0" fontId="4" fillId="4" borderId="6" xfId="0" applyFont="1" applyFill="1" applyBorder="1" applyAlignment="1">
      <alignment horizontal="right" vertical="top"/>
    </xf>
    <xf numFmtId="0" fontId="4" fillId="4" borderId="6" xfId="0" applyFont="1" applyFill="1" applyBorder="1" applyAlignment="1">
      <alignment horizontal="right" vertical="top" wrapText="1"/>
    </xf>
    <xf numFmtId="0" fontId="3" fillId="3" borderId="7" xfId="0" applyFont="1" applyFill="1" applyBorder="1" applyAlignment="1">
      <alignment horizontal="right" vertical="top" wrapText="1"/>
    </xf>
    <xf numFmtId="0" fontId="4" fillId="4" borderId="8" xfId="0" applyFont="1" applyFill="1" applyBorder="1" applyAlignment="1">
      <alignment horizontal="right" vertical="top" wrapText="1"/>
    </xf>
    <xf numFmtId="0" fontId="4" fillId="4" borderId="0" xfId="0" applyFont="1" applyFill="1" applyBorder="1" applyAlignment="1">
      <alignment horizontal="right" vertical="top" wrapText="1"/>
    </xf>
    <xf numFmtId="0" fontId="4" fillId="4" borderId="4" xfId="0" applyFont="1" applyFill="1" applyBorder="1" applyAlignment="1">
      <alignment horizontal="right" vertical="top"/>
    </xf>
    <xf numFmtId="9" fontId="0" fillId="0" borderId="0" xfId="1" applyFont="1"/>
    <xf numFmtId="0" fontId="4" fillId="4" borderId="0" xfId="0" applyFont="1" applyFill="1" applyBorder="1" applyAlignment="1">
      <alignment horizontal="right" vertical="top"/>
    </xf>
    <xf numFmtId="0" fontId="0" fillId="2" borderId="9" xfId="0" applyFill="1" applyBorder="1"/>
    <xf numFmtId="0" fontId="0" fillId="0" borderId="9" xfId="0" applyBorder="1"/>
    <xf numFmtId="164" fontId="2" fillId="0" borderId="9" xfId="0" applyNumberFormat="1" applyFont="1" applyFill="1" applyBorder="1" applyAlignment="1" applyProtection="1"/>
    <xf numFmtId="0" fontId="0" fillId="0" borderId="9" xfId="0" applyBorder="1" applyAlignment="1">
      <alignment horizontal="right"/>
    </xf>
    <xf numFmtId="0" fontId="0" fillId="5" borderId="9" xfId="0" applyFill="1" applyBorder="1"/>
    <xf numFmtId="164" fontId="2" fillId="6" borderId="9" xfId="0" applyNumberFormat="1" applyFont="1" applyFill="1" applyBorder="1" applyAlignment="1" applyProtection="1"/>
    <xf numFmtId="0" fontId="2" fillId="6" borderId="9" xfId="0" applyNumberFormat="1" applyFont="1" applyFill="1" applyBorder="1" applyAlignment="1" applyProtection="1"/>
    <xf numFmtId="0" fontId="0" fillId="6" borderId="9" xfId="0" applyFill="1" applyBorder="1"/>
    <xf numFmtId="10" fontId="0" fillId="6" borderId="9" xfId="1" applyNumberFormat="1" applyFont="1" applyFill="1" applyBorder="1"/>
    <xf numFmtId="0" fontId="0" fillId="7" borderId="9" xfId="0" applyFill="1" applyBorder="1"/>
    <xf numFmtId="10" fontId="0" fillId="7" borderId="9" xfId="1" applyNumberFormat="1" applyFont="1" applyFill="1" applyBorder="1"/>
  </cellXfs>
  <cellStyles count="3">
    <cellStyle name="Normal" xfId="0" builtinId="0"/>
    <cellStyle name="Normal 2" xfId="2" xr:uid="{EACEB9E5-FB98-45BA-9DF7-13677036B879}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1DA5-01DA-48CD-884E-84B8E7CF1D97}">
  <dimension ref="A1:F30"/>
  <sheetViews>
    <sheetView zoomScale="80" zoomScaleNormal="80" workbookViewId="0">
      <pane ySplit="1" topLeftCell="A2" activePane="bottomLeft" state="frozen"/>
      <selection pane="bottomLeft" activeCell="E30" sqref="E30"/>
    </sheetView>
  </sheetViews>
  <sheetFormatPr defaultRowHeight="14.4" x14ac:dyDescent="0.3"/>
  <cols>
    <col min="1" max="1" width="11.88671875" bestFit="1" customWidth="1"/>
    <col min="2" max="2" width="21.77734375" bestFit="1" customWidth="1"/>
    <col min="3" max="3" width="28.6640625" bestFit="1" customWidth="1"/>
    <col min="4" max="4" width="25.6640625" customWidth="1"/>
    <col min="5" max="6" width="13.88671875" bestFit="1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2">
        <v>45751</v>
      </c>
      <c r="B2" s="3">
        <v>19481</v>
      </c>
      <c r="C2" s="3">
        <v>20190.197499999998</v>
      </c>
      <c r="D2" s="3">
        <v>20354.108</v>
      </c>
      <c r="E2" s="16">
        <f>($B2-C2)/$B2</f>
        <v>-3.64045736871823E-2</v>
      </c>
      <c r="F2" s="16">
        <f>($B2-D2)/$B2</f>
        <v>-4.481843847851754E-2</v>
      </c>
    </row>
    <row r="3" spans="1:6" x14ac:dyDescent="0.3">
      <c r="A3" s="2">
        <v>45758</v>
      </c>
      <c r="B3" s="3">
        <v>19123</v>
      </c>
      <c r="C3" s="3">
        <v>19966.784899999999</v>
      </c>
      <c r="D3" s="3">
        <v>20174.567599999998</v>
      </c>
      <c r="E3" s="16">
        <f t="shared" ref="E3:E29" si="0">($B3-C3)/$B3</f>
        <v>-4.4124086178946753E-2</v>
      </c>
      <c r="F3" s="16">
        <f t="shared" ref="F3:F29" si="1">($B3-D3)/$B3</f>
        <v>-5.4989677351879859E-2</v>
      </c>
    </row>
    <row r="4" spans="1:6" x14ac:dyDescent="0.3">
      <c r="A4" s="2">
        <v>45765</v>
      </c>
      <c r="B4" s="3">
        <v>20875</v>
      </c>
      <c r="C4" s="3">
        <v>19681.5422</v>
      </c>
      <c r="D4" s="3">
        <v>19913.3282</v>
      </c>
      <c r="E4" s="16">
        <f t="shared" si="0"/>
        <v>5.7171631137724555E-2</v>
      </c>
      <c r="F4" s="16">
        <f t="shared" si="1"/>
        <v>4.6068110179640721E-2</v>
      </c>
    </row>
    <row r="5" spans="1:6" x14ac:dyDescent="0.3">
      <c r="A5" s="2">
        <v>45772</v>
      </c>
      <c r="B5" s="3">
        <v>19154</v>
      </c>
      <c r="C5" s="3">
        <v>20135.063600000001</v>
      </c>
      <c r="D5" s="3">
        <v>20231.954399999999</v>
      </c>
      <c r="E5" s="16">
        <f t="shared" si="0"/>
        <v>-5.1219776547979601E-2</v>
      </c>
      <c r="F5" s="16">
        <f t="shared" si="1"/>
        <v>-5.6278291740628525E-2</v>
      </c>
    </row>
    <row r="6" spans="1:6" x14ac:dyDescent="0.3">
      <c r="A6" s="2">
        <v>45779</v>
      </c>
      <c r="B6" s="3">
        <v>19872</v>
      </c>
      <c r="C6" s="3">
        <v>19866.787799999998</v>
      </c>
      <c r="D6" s="3">
        <v>20059.2824</v>
      </c>
      <c r="E6" s="16">
        <f t="shared" si="0"/>
        <v>2.622886473430836E-4</v>
      </c>
      <c r="F6" s="16">
        <f t="shared" si="1"/>
        <v>-9.424436392914657E-3</v>
      </c>
    </row>
    <row r="7" spans="1:6" x14ac:dyDescent="0.3">
      <c r="A7" s="2">
        <v>45786</v>
      </c>
      <c r="B7" s="3">
        <v>19441</v>
      </c>
      <c r="C7" s="3">
        <v>19866.2402</v>
      </c>
      <c r="D7" s="3">
        <v>20036.690600000002</v>
      </c>
      <c r="E7" s="16">
        <f t="shared" si="0"/>
        <v>-2.1873370711383167E-2</v>
      </c>
      <c r="F7" s="16">
        <f>($B7-D7)/$B7</f>
        <v>-3.0640944395864497E-2</v>
      </c>
    </row>
    <row r="8" spans="1:6" x14ac:dyDescent="0.3">
      <c r="A8" s="2">
        <v>45793</v>
      </c>
      <c r="B8" s="3">
        <v>20031</v>
      </c>
      <c r="C8" s="3">
        <v>19857.935799999999</v>
      </c>
      <c r="D8" s="3">
        <v>20063.069899999999</v>
      </c>
      <c r="E8" s="16">
        <f t="shared" si="0"/>
        <v>8.6398182816634569E-3</v>
      </c>
      <c r="F8" s="16">
        <f t="shared" si="1"/>
        <v>-1.6010134291846935E-3</v>
      </c>
    </row>
    <row r="9" spans="1:6" x14ac:dyDescent="0.3">
      <c r="A9" s="2">
        <v>45800</v>
      </c>
      <c r="B9" s="3">
        <v>20242</v>
      </c>
      <c r="C9" s="3">
        <v>19939.817500000001</v>
      </c>
      <c r="D9" s="3">
        <v>20126.805100000001</v>
      </c>
      <c r="E9" s="16">
        <f t="shared" si="0"/>
        <v>1.4928490267760053E-2</v>
      </c>
      <c r="F9" s="16">
        <f t="shared" si="1"/>
        <v>5.6908852880149493E-3</v>
      </c>
    </row>
    <row r="10" spans="1:6" x14ac:dyDescent="0.3">
      <c r="A10" s="2">
        <v>45807</v>
      </c>
      <c r="B10" s="3">
        <v>19528</v>
      </c>
      <c r="C10" s="3">
        <v>20020.4247</v>
      </c>
      <c r="D10" s="3">
        <v>20140.370900000002</v>
      </c>
      <c r="E10" s="16">
        <f t="shared" si="0"/>
        <v>-2.5216340639082322E-2</v>
      </c>
      <c r="F10" s="16">
        <f t="shared" si="1"/>
        <v>-3.1358608152396647E-2</v>
      </c>
    </row>
    <row r="11" spans="1:6" x14ac:dyDescent="0.3">
      <c r="A11" s="2">
        <v>45814</v>
      </c>
      <c r="B11" s="3">
        <v>19762</v>
      </c>
      <c r="C11" s="3">
        <v>19892.173699999999</v>
      </c>
      <c r="D11" s="3">
        <v>20066.930400000001</v>
      </c>
      <c r="E11" s="16">
        <f t="shared" si="0"/>
        <v>-6.587071146645045E-3</v>
      </c>
      <c r="F11" s="16">
        <f t="shared" si="1"/>
        <v>-1.5430138649934273E-2</v>
      </c>
    </row>
    <row r="12" spans="1:6" x14ac:dyDescent="0.3">
      <c r="A12" s="2">
        <v>45821</v>
      </c>
      <c r="B12" s="3">
        <v>20391</v>
      </c>
      <c r="C12" s="3">
        <v>19893.966799999998</v>
      </c>
      <c r="D12" s="3">
        <v>20072.481599999999</v>
      </c>
      <c r="E12" s="16">
        <f t="shared" si="0"/>
        <v>2.4375126281202572E-2</v>
      </c>
      <c r="F12" s="16">
        <f t="shared" si="1"/>
        <v>1.5620538472855713E-2</v>
      </c>
    </row>
    <row r="13" spans="1:6" x14ac:dyDescent="0.3">
      <c r="A13" s="2">
        <v>45828</v>
      </c>
      <c r="B13" s="3">
        <v>20513</v>
      </c>
      <c r="C13" s="3">
        <v>20101.244900000002</v>
      </c>
      <c r="D13" s="3">
        <v>20230.875199999999</v>
      </c>
      <c r="E13" s="16">
        <f t="shared" si="0"/>
        <v>2.0072885487251915E-2</v>
      </c>
      <c r="F13" s="16">
        <f t="shared" si="1"/>
        <v>1.3753463657193068E-2</v>
      </c>
    </row>
    <row r="14" spans="1:6" x14ac:dyDescent="0.3">
      <c r="A14" s="2">
        <v>45835</v>
      </c>
      <c r="B14" s="3">
        <v>20487</v>
      </c>
      <c r="C14" s="3">
        <v>20192.705900000001</v>
      </c>
      <c r="D14" s="3">
        <v>20274.9041</v>
      </c>
      <c r="E14" s="16">
        <f t="shared" si="0"/>
        <v>1.436491921706444E-2</v>
      </c>
      <c r="F14" s="16">
        <f t="shared" si="1"/>
        <v>1.0352706594425746E-2</v>
      </c>
    </row>
    <row r="15" spans="1:6" x14ac:dyDescent="0.3">
      <c r="A15" s="2">
        <v>45842</v>
      </c>
      <c r="B15" s="3">
        <v>20863</v>
      </c>
      <c r="C15" s="3">
        <v>20239.509600000001</v>
      </c>
      <c r="D15" s="3">
        <v>20289.413400000001</v>
      </c>
      <c r="E15" s="16">
        <f t="shared" si="0"/>
        <v>2.9884982984230396E-2</v>
      </c>
      <c r="F15" s="16">
        <f t="shared" si="1"/>
        <v>2.7493006758376012E-2</v>
      </c>
    </row>
    <row r="16" spans="1:6" x14ac:dyDescent="0.3">
      <c r="A16" s="2">
        <v>45849</v>
      </c>
      <c r="B16" s="3">
        <v>19184</v>
      </c>
      <c r="C16" s="3">
        <v>20433.4751</v>
      </c>
      <c r="D16" s="3">
        <v>20442.9578</v>
      </c>
      <c r="E16" s="16">
        <f t="shared" si="0"/>
        <v>-6.5131104045037511E-2</v>
      </c>
      <c r="F16" s="16">
        <f t="shared" si="1"/>
        <v>-6.5625406588824028E-2</v>
      </c>
    </row>
    <row r="17" spans="1:6" x14ac:dyDescent="0.3">
      <c r="A17" s="2">
        <v>45856</v>
      </c>
      <c r="B17" s="3">
        <v>21770</v>
      </c>
      <c r="C17" s="3">
        <v>20067.666499999999</v>
      </c>
      <c r="D17" s="3">
        <v>20223.432700000001</v>
      </c>
      <c r="E17" s="16">
        <f t="shared" si="0"/>
        <v>7.8196302250803887E-2</v>
      </c>
      <c r="F17" s="16">
        <f t="shared" si="1"/>
        <v>7.1041217271474458E-2</v>
      </c>
    </row>
    <row r="18" spans="1:6" x14ac:dyDescent="0.3">
      <c r="A18" s="2">
        <v>45863</v>
      </c>
      <c r="B18" s="3">
        <v>21387</v>
      </c>
      <c r="C18" s="3">
        <v>20582.409800000001</v>
      </c>
      <c r="D18" s="3">
        <v>20570.983800000002</v>
      </c>
      <c r="E18" s="16">
        <f t="shared" si="0"/>
        <v>3.7620526488053432E-2</v>
      </c>
      <c r="F18" s="16">
        <f>($B18-D18)/$B18</f>
        <v>3.815477626595587E-2</v>
      </c>
    </row>
    <row r="19" spans="1:6" x14ac:dyDescent="0.3">
      <c r="A19" s="2">
        <v>45870</v>
      </c>
      <c r="B19" s="3">
        <v>20122</v>
      </c>
      <c r="C19" s="3">
        <v>20781.7556</v>
      </c>
      <c r="D19" s="3">
        <v>20699.967700000001</v>
      </c>
      <c r="E19" s="16">
        <f t="shared" si="0"/>
        <v>-3.2787774575091959E-2</v>
      </c>
      <c r="F19" s="16">
        <f t="shared" si="1"/>
        <v>-2.8723173640791227E-2</v>
      </c>
    </row>
    <row r="20" spans="1:6" x14ac:dyDescent="0.3">
      <c r="A20" s="2">
        <v>45877</v>
      </c>
      <c r="B20" s="3">
        <v>21357</v>
      </c>
      <c r="C20" s="3">
        <v>20442.813300000002</v>
      </c>
      <c r="D20" s="3">
        <v>20447.516</v>
      </c>
      <c r="E20" s="16">
        <f t="shared" si="0"/>
        <v>4.280501474926246E-2</v>
      </c>
      <c r="F20" s="16">
        <f t="shared" si="1"/>
        <v>4.2584819965350955E-2</v>
      </c>
    </row>
    <row r="21" spans="1:6" x14ac:dyDescent="0.3">
      <c r="A21" s="2">
        <v>45884</v>
      </c>
      <c r="B21" s="3">
        <v>21506</v>
      </c>
      <c r="C21" s="3">
        <v>20737.516100000001</v>
      </c>
      <c r="D21" s="3">
        <v>20664.470600000001</v>
      </c>
      <c r="E21" s="16">
        <f t="shared" si="0"/>
        <v>3.5733465079512659E-2</v>
      </c>
      <c r="F21" s="16">
        <f t="shared" si="1"/>
        <v>3.9129982330512389E-2</v>
      </c>
    </row>
    <row r="22" spans="1:6" x14ac:dyDescent="0.3">
      <c r="A22" s="2">
        <v>45891</v>
      </c>
      <c r="B22" s="3">
        <v>21614</v>
      </c>
      <c r="C22" s="3">
        <v>20993.780299999999</v>
      </c>
      <c r="D22" s="3">
        <v>20900.5452</v>
      </c>
      <c r="E22" s="16">
        <f t="shared" si="0"/>
        <v>2.8695276209864045E-2</v>
      </c>
      <c r="F22" s="16">
        <f t="shared" si="1"/>
        <v>3.3008920144350862E-2</v>
      </c>
    </row>
    <row r="23" spans="1:6" x14ac:dyDescent="0.3">
      <c r="A23" s="2">
        <v>45898</v>
      </c>
      <c r="B23" s="3">
        <v>20652</v>
      </c>
      <c r="C23" s="3">
        <v>21018.751499999998</v>
      </c>
      <c r="D23" s="3">
        <v>20870.629499999999</v>
      </c>
      <c r="E23" s="16">
        <f t="shared" si="0"/>
        <v>-1.7758643230679765E-2</v>
      </c>
      <c r="F23" s="16">
        <f t="shared" si="1"/>
        <v>-1.0586359674607743E-2</v>
      </c>
    </row>
    <row r="24" spans="1:6" x14ac:dyDescent="0.3">
      <c r="A24" s="2">
        <v>45905</v>
      </c>
      <c r="B24" s="3">
        <v>19781</v>
      </c>
      <c r="C24" s="3">
        <v>20841.136699999999</v>
      </c>
      <c r="D24" s="3">
        <v>20748.604299999999</v>
      </c>
      <c r="E24" s="16">
        <f t="shared" si="0"/>
        <v>-5.3593685860168806E-2</v>
      </c>
      <c r="F24" s="16">
        <f t="shared" si="1"/>
        <v>-4.8915843486173553E-2</v>
      </c>
    </row>
    <row r="25" spans="1:6" x14ac:dyDescent="0.3">
      <c r="A25" s="2">
        <v>45912</v>
      </c>
      <c r="B25" s="3">
        <v>20637</v>
      </c>
      <c r="C25" s="3">
        <v>20553.441900000002</v>
      </c>
      <c r="D25" s="3">
        <v>20607.4126</v>
      </c>
      <c r="E25" s="16">
        <f t="shared" si="0"/>
        <v>4.048946067742326E-3</v>
      </c>
      <c r="F25" s="16">
        <f t="shared" si="1"/>
        <v>1.4337064495808665E-3</v>
      </c>
    </row>
    <row r="26" spans="1:6" x14ac:dyDescent="0.3">
      <c r="A26" s="2">
        <v>45919</v>
      </c>
      <c r="B26" s="3">
        <v>20793</v>
      </c>
      <c r="C26" s="3">
        <v>20609.3773</v>
      </c>
      <c r="D26" s="3">
        <v>20652.573700000001</v>
      </c>
      <c r="E26" s="16">
        <f t="shared" si="0"/>
        <v>8.8309863896503579E-3</v>
      </c>
      <c r="F26" s="16">
        <f t="shared" si="1"/>
        <v>6.7535372481123054E-3</v>
      </c>
    </row>
    <row r="27" spans="1:6" x14ac:dyDescent="0.3">
      <c r="A27" s="2">
        <v>45926</v>
      </c>
      <c r="B27" s="3">
        <v>20166</v>
      </c>
      <c r="C27" s="3">
        <v>20628.913199999999</v>
      </c>
      <c r="D27" s="3">
        <v>20636.885999999999</v>
      </c>
      <c r="E27" s="16">
        <f t="shared" si="0"/>
        <v>-2.2955132401071061E-2</v>
      </c>
      <c r="F27" s="16">
        <f t="shared" si="1"/>
        <v>-2.3350490925319777E-2</v>
      </c>
    </row>
    <row r="28" spans="1:6" x14ac:dyDescent="0.3">
      <c r="A28" s="2">
        <v>45933</v>
      </c>
      <c r="B28" s="3">
        <v>21990</v>
      </c>
      <c r="C28" s="3">
        <v>20404.128000000001</v>
      </c>
      <c r="D28" s="3">
        <v>20434.6024</v>
      </c>
      <c r="E28" s="16">
        <f t="shared" si="0"/>
        <v>7.2117871759890831E-2</v>
      </c>
      <c r="F28" s="16">
        <f t="shared" si="1"/>
        <v>7.0732041837198736E-2</v>
      </c>
    </row>
    <row r="29" spans="1:6" x14ac:dyDescent="0.3">
      <c r="A29" s="2">
        <v>45940</v>
      </c>
      <c r="B29" s="3">
        <v>19726</v>
      </c>
      <c r="C29" s="3">
        <v>20874.032800000001</v>
      </c>
      <c r="D29" s="3">
        <v>20744.983100000001</v>
      </c>
      <c r="E29" s="16">
        <f t="shared" si="0"/>
        <v>-5.8198965831897036E-2</v>
      </c>
      <c r="F29" s="16">
        <f t="shared" si="1"/>
        <v>-5.165685389840826E-2</v>
      </c>
    </row>
    <row r="30" spans="1:6" x14ac:dyDescent="0.3">
      <c r="C30" s="3"/>
      <c r="E30" s="16" cm="1">
        <f t="array" ref="E30">SUM(ABS(E2:E29))</f>
        <v>0.9135990561541858</v>
      </c>
      <c r="F30" s="16" cm="1">
        <f t="array" ref="F30">SUM(ABS(F2:F29))</f>
        <v>0.89521738926848782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A1F5-148B-4A28-8CDC-8347023DEE88}">
  <dimension ref="A1:F30"/>
  <sheetViews>
    <sheetView workbookViewId="0">
      <pane ySplit="1" topLeftCell="A20" activePane="bottomLeft" state="frozen"/>
      <selection pane="bottomLeft" activeCell="E30" sqref="E30"/>
    </sheetView>
  </sheetViews>
  <sheetFormatPr defaultRowHeight="14.4" x14ac:dyDescent="0.3"/>
  <cols>
    <col min="1" max="1" width="12.109375" bestFit="1" customWidth="1"/>
    <col min="2" max="2" width="20.21875" bestFit="1" customWidth="1"/>
    <col min="3" max="3" width="28.6640625" bestFit="1" customWidth="1"/>
    <col min="4" max="4" width="26.109375" bestFit="1" customWidth="1"/>
    <col min="5" max="5" width="13.88671875" bestFit="1" customWidth="1"/>
    <col min="6" max="6" width="14.21875" bestFit="1" customWidth="1"/>
  </cols>
  <sheetData>
    <row r="1" spans="1:6" x14ac:dyDescent="0.3">
      <c r="A1" s="18" t="s">
        <v>0</v>
      </c>
      <c r="B1" s="18" t="s">
        <v>1</v>
      </c>
      <c r="C1" s="18" t="s">
        <v>3</v>
      </c>
      <c r="D1" s="18" t="s">
        <v>4</v>
      </c>
      <c r="E1" s="18" t="s">
        <v>5</v>
      </c>
      <c r="F1" s="18" t="s">
        <v>6</v>
      </c>
    </row>
    <row r="2" spans="1:6" x14ac:dyDescent="0.3">
      <c r="A2" s="4">
        <v>45751</v>
      </c>
      <c r="B2" s="3">
        <v>19481</v>
      </c>
      <c r="C2" s="3">
        <v>19291.849699999999</v>
      </c>
      <c r="D2" s="3">
        <v>19347.7094</v>
      </c>
      <c r="E2" s="16">
        <f>($B2-C2)/$B2</f>
        <v>9.7094758995945364E-3</v>
      </c>
      <c r="F2" s="16">
        <f>($B2-D2)/$B2</f>
        <v>6.8420820286433075E-3</v>
      </c>
    </row>
    <row r="3" spans="1:6" x14ac:dyDescent="0.3">
      <c r="A3" s="4">
        <v>45758</v>
      </c>
      <c r="B3" s="3">
        <v>19123</v>
      </c>
      <c r="C3" s="3">
        <v>19154.779600000002</v>
      </c>
      <c r="D3" s="3">
        <v>19197.463500000002</v>
      </c>
      <c r="E3" s="16">
        <f t="shared" ref="E3:F29" si="0">($B3-C3)/$B3</f>
        <v>-1.6618522198400703E-3</v>
      </c>
      <c r="F3" s="16">
        <f t="shared" si="0"/>
        <v>-3.8939235475606159E-3</v>
      </c>
    </row>
    <row r="4" spans="1:6" x14ac:dyDescent="0.3">
      <c r="A4" s="4">
        <v>45765</v>
      </c>
      <c r="B4" s="3">
        <v>20875</v>
      </c>
      <c r="C4" s="3">
        <v>19784.2601</v>
      </c>
      <c r="D4" s="3">
        <v>19781.316800000001</v>
      </c>
      <c r="E4" s="16">
        <f t="shared" si="0"/>
        <v>5.2251013173652716E-2</v>
      </c>
      <c r="F4" s="16">
        <f t="shared" si="0"/>
        <v>5.2392009580838297E-2</v>
      </c>
    </row>
    <row r="5" spans="1:6" x14ac:dyDescent="0.3">
      <c r="A5" s="4">
        <v>45772</v>
      </c>
      <c r="B5" s="3">
        <v>19154</v>
      </c>
      <c r="C5" s="3">
        <v>20124.5461</v>
      </c>
      <c r="D5" s="3">
        <v>20114.604299999999</v>
      </c>
      <c r="E5" s="16">
        <f t="shared" si="0"/>
        <v>-5.0670674532734654E-2</v>
      </c>
      <c r="F5" s="16">
        <f t="shared" si="0"/>
        <v>-5.015162890257905E-2</v>
      </c>
    </row>
    <row r="6" spans="1:6" x14ac:dyDescent="0.3">
      <c r="A6" s="4">
        <v>45779</v>
      </c>
      <c r="B6" s="3">
        <v>19872</v>
      </c>
      <c r="C6" s="3">
        <v>19734.629300000001</v>
      </c>
      <c r="D6" s="3">
        <v>19557.256300000001</v>
      </c>
      <c r="E6" s="16">
        <f t="shared" si="0"/>
        <v>6.9127767713365283E-3</v>
      </c>
      <c r="F6" s="16">
        <f t="shared" si="0"/>
        <v>1.583855173107886E-2</v>
      </c>
    </row>
    <row r="7" spans="1:6" x14ac:dyDescent="0.3">
      <c r="A7" s="4">
        <v>45786</v>
      </c>
      <c r="B7" s="3">
        <v>19441</v>
      </c>
      <c r="C7" s="3">
        <v>19888.604299999999</v>
      </c>
      <c r="D7" s="3">
        <v>19940.365600000001</v>
      </c>
      <c r="E7" s="16">
        <f t="shared" si="0"/>
        <v>-2.3023728203281676E-2</v>
      </c>
      <c r="F7" s="16">
        <f t="shared" si="0"/>
        <v>-2.5686209557121597E-2</v>
      </c>
    </row>
    <row r="8" spans="1:6" x14ac:dyDescent="0.3">
      <c r="A8" s="4">
        <v>45793</v>
      </c>
      <c r="B8" s="3">
        <v>20031</v>
      </c>
      <c r="C8" s="3">
        <v>20055.827300000001</v>
      </c>
      <c r="D8" s="3">
        <v>20079.4784</v>
      </c>
      <c r="E8" s="16">
        <f t="shared" si="0"/>
        <v>-1.2394438620139201E-3</v>
      </c>
      <c r="F8" s="16">
        <f t="shared" si="0"/>
        <v>-2.4201687384553922E-3</v>
      </c>
    </row>
    <row r="9" spans="1:6" x14ac:dyDescent="0.3">
      <c r="A9" s="4">
        <v>45800</v>
      </c>
      <c r="B9" s="3">
        <v>20242</v>
      </c>
      <c r="C9" s="3">
        <v>19246.119699999999</v>
      </c>
      <c r="D9" s="3">
        <v>19313.533299999999</v>
      </c>
      <c r="E9" s="16">
        <f t="shared" si="0"/>
        <v>4.919871060171923E-2</v>
      </c>
      <c r="F9" s="16">
        <f t="shared" si="0"/>
        <v>4.5868328228435964E-2</v>
      </c>
    </row>
    <row r="10" spans="1:6" x14ac:dyDescent="0.3">
      <c r="A10" s="4">
        <v>45807</v>
      </c>
      <c r="B10" s="3">
        <v>19528</v>
      </c>
      <c r="C10" s="3">
        <v>20121.680799999998</v>
      </c>
      <c r="D10" s="3">
        <v>19798.3102</v>
      </c>
      <c r="E10" s="16">
        <f t="shared" si="0"/>
        <v>-3.040151577222441E-2</v>
      </c>
      <c r="F10" s="16">
        <f t="shared" si="0"/>
        <v>-1.3842185579680453E-2</v>
      </c>
    </row>
    <row r="11" spans="1:6" x14ac:dyDescent="0.3">
      <c r="A11" s="4">
        <v>45814</v>
      </c>
      <c r="B11" s="3">
        <v>19762</v>
      </c>
      <c r="C11" s="3">
        <v>20109.504300000001</v>
      </c>
      <c r="D11" s="3">
        <v>20437.4182</v>
      </c>
      <c r="E11" s="16">
        <f t="shared" si="0"/>
        <v>-1.7584470195324386E-2</v>
      </c>
      <c r="F11" s="16">
        <f t="shared" si="0"/>
        <v>-3.4177623722295318E-2</v>
      </c>
    </row>
    <row r="12" spans="1:6" x14ac:dyDescent="0.3">
      <c r="A12" s="4">
        <v>45821</v>
      </c>
      <c r="B12" s="3">
        <v>20391</v>
      </c>
      <c r="C12" s="3">
        <v>20584.3737</v>
      </c>
      <c r="D12" s="3">
        <v>20806.842100000002</v>
      </c>
      <c r="E12" s="16">
        <f t="shared" si="0"/>
        <v>-9.4832867441518361E-3</v>
      </c>
      <c r="F12" s="16">
        <f t="shared" si="0"/>
        <v>-2.0393413760973061E-2</v>
      </c>
    </row>
    <row r="13" spans="1:6" x14ac:dyDescent="0.3">
      <c r="A13" s="4">
        <v>45828</v>
      </c>
      <c r="B13" s="3">
        <v>20513</v>
      </c>
      <c r="C13" s="3">
        <v>20373.1492</v>
      </c>
      <c r="D13" s="3">
        <v>20564.627100000002</v>
      </c>
      <c r="E13" s="16">
        <f t="shared" si="0"/>
        <v>6.8176668454151103E-3</v>
      </c>
      <c r="F13" s="16">
        <f t="shared" si="0"/>
        <v>-2.5167991030079226E-3</v>
      </c>
    </row>
    <row r="14" spans="1:6" x14ac:dyDescent="0.3">
      <c r="A14" s="4">
        <v>45835</v>
      </c>
      <c r="B14" s="3">
        <v>20487</v>
      </c>
      <c r="C14" s="3">
        <v>20657.576499999999</v>
      </c>
      <c r="D14" s="3">
        <v>20779.259999999998</v>
      </c>
      <c r="E14" s="16">
        <f t="shared" si="0"/>
        <v>-8.3260848342851176E-3</v>
      </c>
      <c r="F14" s="16">
        <f t="shared" si="0"/>
        <v>-1.4265631864108869E-2</v>
      </c>
    </row>
    <row r="15" spans="1:6" x14ac:dyDescent="0.3">
      <c r="A15" s="4">
        <v>45842</v>
      </c>
      <c r="B15" s="3">
        <v>20863</v>
      </c>
      <c r="C15" s="3">
        <v>19980.787499999999</v>
      </c>
      <c r="D15" s="3">
        <v>20180.217700000001</v>
      </c>
      <c r="E15" s="16">
        <f t="shared" si="0"/>
        <v>4.2285984757705099E-2</v>
      </c>
      <c r="F15" s="16">
        <f t="shared" si="0"/>
        <v>3.2726947227148487E-2</v>
      </c>
    </row>
    <row r="16" spans="1:6" x14ac:dyDescent="0.3">
      <c r="A16" s="4">
        <v>45849</v>
      </c>
      <c r="B16" s="3">
        <v>19184</v>
      </c>
      <c r="C16" s="3">
        <v>20687.305799999998</v>
      </c>
      <c r="D16" s="3">
        <v>20815.563999999998</v>
      </c>
      <c r="E16" s="16">
        <f t="shared" si="0"/>
        <v>-7.8362479149290981E-2</v>
      </c>
      <c r="F16" s="16">
        <f t="shared" si="0"/>
        <v>-8.5048165137614595E-2</v>
      </c>
    </row>
    <row r="17" spans="1:6" x14ac:dyDescent="0.3">
      <c r="A17" s="4">
        <v>45856</v>
      </c>
      <c r="B17" s="3">
        <v>21770</v>
      </c>
      <c r="C17" s="3">
        <v>20676.389500000001</v>
      </c>
      <c r="D17" s="3">
        <v>20752.166300000001</v>
      </c>
      <c r="E17" s="16">
        <f t="shared" si="0"/>
        <v>5.0234749655489151E-2</v>
      </c>
      <c r="F17" s="16">
        <f t="shared" si="0"/>
        <v>4.6753959577400056E-2</v>
      </c>
    </row>
    <row r="18" spans="1:6" x14ac:dyDescent="0.3">
      <c r="A18" s="4">
        <v>45863</v>
      </c>
      <c r="B18" s="3">
        <v>21387</v>
      </c>
      <c r="C18" s="3">
        <v>20650.552100000001</v>
      </c>
      <c r="D18" s="3">
        <v>20735.455999999998</v>
      </c>
      <c r="E18" s="16">
        <f>($B18-C18)/$B18</f>
        <v>3.4434371347079967E-2</v>
      </c>
      <c r="F18" s="16">
        <f t="shared" si="0"/>
        <v>3.0464487772946261E-2</v>
      </c>
    </row>
    <row r="19" spans="1:6" x14ac:dyDescent="0.3">
      <c r="A19" s="4">
        <v>45870</v>
      </c>
      <c r="B19" s="3">
        <v>20122</v>
      </c>
      <c r="C19" s="3">
        <v>20637.954600000001</v>
      </c>
      <c r="D19" s="3">
        <v>20707.190200000001</v>
      </c>
      <c r="E19" s="16">
        <f t="shared" si="0"/>
        <v>-2.5641317960441355E-2</v>
      </c>
      <c r="F19" s="16">
        <f t="shared" si="0"/>
        <v>-2.9082109134280932E-2</v>
      </c>
    </row>
    <row r="20" spans="1:6" x14ac:dyDescent="0.3">
      <c r="A20" s="4">
        <v>45877</v>
      </c>
      <c r="B20" s="3">
        <v>21357</v>
      </c>
      <c r="C20" s="3">
        <v>20904.0753</v>
      </c>
      <c r="D20" s="3">
        <v>20906.520799999998</v>
      </c>
      <c r="E20" s="16">
        <f t="shared" si="0"/>
        <v>2.120731844360161E-2</v>
      </c>
      <c r="F20" s="16">
        <f>($B20-D20)/$B20</f>
        <v>2.1092812660954328E-2</v>
      </c>
    </row>
    <row r="21" spans="1:6" x14ac:dyDescent="0.3">
      <c r="A21" s="4">
        <v>45884</v>
      </c>
      <c r="B21" s="3">
        <v>21506</v>
      </c>
      <c r="C21" s="3">
        <v>21053.374299999999</v>
      </c>
      <c r="D21" s="3">
        <v>21064.0785</v>
      </c>
      <c r="E21" s="16">
        <f t="shared" si="0"/>
        <v>2.1046484701943667E-2</v>
      </c>
      <c r="F21" s="16">
        <f t="shared" si="0"/>
        <v>2.0548753836138769E-2</v>
      </c>
    </row>
    <row r="22" spans="1:6" x14ac:dyDescent="0.3">
      <c r="A22" s="4">
        <v>45891</v>
      </c>
      <c r="B22" s="3">
        <v>21614</v>
      </c>
      <c r="C22" s="3">
        <v>21156.328099999999</v>
      </c>
      <c r="D22" s="3">
        <v>21100.391100000001</v>
      </c>
      <c r="E22" s="16">
        <f t="shared" si="0"/>
        <v>2.1174789488294678E-2</v>
      </c>
      <c r="F22" s="16">
        <f t="shared" si="0"/>
        <v>2.3762788007772706E-2</v>
      </c>
    </row>
    <row r="23" spans="1:6" x14ac:dyDescent="0.3">
      <c r="A23" s="4">
        <v>45898</v>
      </c>
      <c r="B23" s="3">
        <v>20652</v>
      </c>
      <c r="C23" s="3">
        <v>20628.353500000001</v>
      </c>
      <c r="D23" s="3">
        <v>20639.4385</v>
      </c>
      <c r="E23" s="16">
        <f t="shared" si="0"/>
        <v>1.1449980631415323E-3</v>
      </c>
      <c r="F23" s="16">
        <f t="shared" si="0"/>
        <v>6.0824617470461926E-4</v>
      </c>
    </row>
    <row r="24" spans="1:6" x14ac:dyDescent="0.3">
      <c r="A24" s="4">
        <v>45905</v>
      </c>
      <c r="B24" s="3">
        <v>19781</v>
      </c>
      <c r="C24" s="3">
        <v>20333.697199999999</v>
      </c>
      <c r="D24" s="3">
        <v>20381.337</v>
      </c>
      <c r="E24" s="16">
        <f t="shared" si="0"/>
        <v>-2.7940811890197599E-2</v>
      </c>
      <c r="F24" s="16">
        <f t="shared" si="0"/>
        <v>-3.0349173449269476E-2</v>
      </c>
    </row>
    <row r="25" spans="1:6" x14ac:dyDescent="0.3">
      <c r="A25" s="4">
        <v>45912</v>
      </c>
      <c r="B25" s="3">
        <v>20637</v>
      </c>
      <c r="C25" s="3">
        <v>20473.4624</v>
      </c>
      <c r="D25" s="3">
        <v>20496.7605</v>
      </c>
      <c r="E25" s="16">
        <f t="shared" si="0"/>
        <v>7.9244851480350653E-3</v>
      </c>
      <c r="F25" s="16">
        <f t="shared" si="0"/>
        <v>6.7955371420264418E-3</v>
      </c>
    </row>
    <row r="26" spans="1:6" x14ac:dyDescent="0.3">
      <c r="A26" s="4">
        <v>45919</v>
      </c>
      <c r="B26" s="3">
        <v>20793</v>
      </c>
      <c r="C26" s="3">
        <v>20677.5327</v>
      </c>
      <c r="D26" s="3">
        <v>20659.406200000001</v>
      </c>
      <c r="E26" s="16">
        <f t="shared" si="0"/>
        <v>5.5531813591112511E-3</v>
      </c>
      <c r="F26" s="16">
        <f t="shared" si="0"/>
        <v>6.4249410859423236E-3</v>
      </c>
    </row>
    <row r="27" spans="1:6" x14ac:dyDescent="0.3">
      <c r="A27" s="4">
        <v>45926</v>
      </c>
      <c r="B27" s="3">
        <v>20166</v>
      </c>
      <c r="C27" s="3">
        <v>20562.443299999999</v>
      </c>
      <c r="D27" s="3">
        <v>20600.266299999999</v>
      </c>
      <c r="E27" s="16">
        <f t="shared" si="0"/>
        <v>-1.9658995338688832E-2</v>
      </c>
      <c r="F27" s="16">
        <f t="shared" si="0"/>
        <v>-2.1534578002578564E-2</v>
      </c>
    </row>
    <row r="28" spans="1:6" x14ac:dyDescent="0.3">
      <c r="A28" s="4">
        <v>45933</v>
      </c>
      <c r="B28" s="3">
        <v>21990</v>
      </c>
      <c r="C28" s="3">
        <v>20408.963299999999</v>
      </c>
      <c r="D28" s="3">
        <v>20420.172699999999</v>
      </c>
      <c r="E28" s="16">
        <f t="shared" si="0"/>
        <v>7.1897985447930898E-2</v>
      </c>
      <c r="F28" s="16">
        <f t="shared" si="0"/>
        <v>7.1388235561618954E-2</v>
      </c>
    </row>
    <row r="29" spans="1:6" x14ac:dyDescent="0.3">
      <c r="A29" s="4">
        <v>45940</v>
      </c>
      <c r="B29" s="3">
        <v>19726</v>
      </c>
      <c r="C29" s="3">
        <v>21475.8629</v>
      </c>
      <c r="D29" s="3">
        <v>21431.435300000001</v>
      </c>
      <c r="E29" s="16">
        <f t="shared" si="0"/>
        <v>-8.8708450775626085E-2</v>
      </c>
      <c r="F29" s="16">
        <f t="shared" si="0"/>
        <v>-8.6456215147521095E-2</v>
      </c>
    </row>
    <row r="30" spans="1:6" x14ac:dyDescent="0.3">
      <c r="E30" s="16" cm="1">
        <f t="array" ref="E30">SUM(ABS(E2:E29))</f>
        <v>0.78449710318215171</v>
      </c>
      <c r="F30" s="16" cm="1">
        <f t="array" ref="F30">SUM(ABS(F2:F29))</f>
        <v>0.80132550626269627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EDA3-2540-4642-8A6A-D6772434DB9E}">
  <dimension ref="A1:F14"/>
  <sheetViews>
    <sheetView tabSelected="1" workbookViewId="0">
      <selection activeCell="D19" sqref="D19"/>
    </sheetView>
  </sheetViews>
  <sheetFormatPr defaultRowHeight="14.4" x14ac:dyDescent="0.3"/>
  <cols>
    <col min="1" max="1" width="12" bestFit="1" customWidth="1"/>
    <col min="2" max="2" width="11.88671875" hidden="1" customWidth="1"/>
    <col min="3" max="3" width="21.109375" bestFit="1" customWidth="1"/>
    <col min="4" max="4" width="29.6640625" bestFit="1" customWidth="1"/>
    <col min="5" max="5" width="13.88671875" hidden="1" customWidth="1"/>
    <col min="6" max="6" width="14.21875" hidden="1" customWidth="1"/>
  </cols>
  <sheetData>
    <row r="1" spans="1:6" x14ac:dyDescent="0.3">
      <c r="A1" s="22" t="s">
        <v>7</v>
      </c>
      <c r="B1" s="22" t="s">
        <v>8</v>
      </c>
      <c r="C1" s="22" t="s">
        <v>9</v>
      </c>
      <c r="D1" s="22" t="s">
        <v>10</v>
      </c>
      <c r="E1" s="18" t="s">
        <v>5</v>
      </c>
      <c r="F1" s="18" t="s">
        <v>6</v>
      </c>
    </row>
    <row r="2" spans="1:6" hidden="1" x14ac:dyDescent="0.3">
      <c r="A2" s="23">
        <v>45947</v>
      </c>
      <c r="B2" s="24">
        <v>20014</v>
      </c>
      <c r="C2" s="24">
        <v>20532.680499999999</v>
      </c>
      <c r="D2" s="25">
        <v>20622.4509</v>
      </c>
      <c r="E2" s="26">
        <f>($B2-C2)/$B2</f>
        <v>-2.591588388128303E-2</v>
      </c>
      <c r="F2" s="26">
        <f>($B2-D2)/$B2</f>
        <v>-3.0401264115119408E-2</v>
      </c>
    </row>
    <row r="3" spans="1:6" hidden="1" x14ac:dyDescent="0.3">
      <c r="A3" s="23">
        <v>45954</v>
      </c>
      <c r="B3" s="24">
        <v>21281</v>
      </c>
      <c r="C3" s="24">
        <v>20511.3436</v>
      </c>
      <c r="D3" s="25">
        <v>20774.915300000001</v>
      </c>
      <c r="E3" s="26">
        <f t="shared" ref="E3:F5" si="0">($B3-C3)/$B3</f>
        <v>3.616636436257694E-2</v>
      </c>
      <c r="F3" s="26">
        <f>($B3-D3)/$B3</f>
        <v>2.3781058220948236E-2</v>
      </c>
    </row>
    <row r="4" spans="1:6" hidden="1" x14ac:dyDescent="0.3">
      <c r="A4" s="23">
        <v>45961</v>
      </c>
      <c r="B4" s="24">
        <v>20356</v>
      </c>
      <c r="C4" s="24">
        <v>20590.957299999998</v>
      </c>
      <c r="D4" s="25">
        <v>20910.065500000001</v>
      </c>
      <c r="E4" s="26">
        <f t="shared" si="0"/>
        <v>-1.1542410100216064E-2</v>
      </c>
      <c r="F4" s="26">
        <f>($B4-D4)/$B4</f>
        <v>-2.7218780703478121E-2</v>
      </c>
    </row>
    <row r="5" spans="1:6" hidden="1" x14ac:dyDescent="0.3">
      <c r="A5" s="23">
        <v>45968</v>
      </c>
      <c r="B5" s="24">
        <v>20770</v>
      </c>
      <c r="C5" s="24">
        <v>20558.313600000001</v>
      </c>
      <c r="D5" s="25">
        <v>21044.452499999999</v>
      </c>
      <c r="E5" s="26">
        <f t="shared" si="0"/>
        <v>1.0191930669234409E-2</v>
      </c>
      <c r="F5" s="26">
        <f>($B5-D5)/$B5</f>
        <v>-1.3213890226287887E-2</v>
      </c>
    </row>
    <row r="6" spans="1:6" x14ac:dyDescent="0.3">
      <c r="A6" s="20">
        <v>45975</v>
      </c>
      <c r="B6" s="21" t="s">
        <v>11</v>
      </c>
      <c r="C6" s="21">
        <v>20508.657899999998</v>
      </c>
      <c r="D6" s="19">
        <v>20562.514599999999</v>
      </c>
      <c r="E6" s="19" t="s">
        <v>11</v>
      </c>
      <c r="F6" s="19" t="s">
        <v>11</v>
      </c>
    </row>
    <row r="7" spans="1:6" x14ac:dyDescent="0.3">
      <c r="A7" s="20">
        <v>45982</v>
      </c>
      <c r="B7" s="21" t="s">
        <v>11</v>
      </c>
      <c r="C7" s="21">
        <v>20540.496299999999</v>
      </c>
      <c r="D7" s="19">
        <v>20288.376400000001</v>
      </c>
      <c r="E7" s="19" t="s">
        <v>11</v>
      </c>
      <c r="F7" s="19" t="s">
        <v>11</v>
      </c>
    </row>
    <row r="8" spans="1:6" x14ac:dyDescent="0.3">
      <c r="A8" s="20">
        <v>45989</v>
      </c>
      <c r="B8" s="21" t="s">
        <v>11</v>
      </c>
      <c r="C8" s="21">
        <v>20546.5386</v>
      </c>
      <c r="D8" s="19">
        <v>20251.6289</v>
      </c>
      <c r="E8" s="19" t="s">
        <v>11</v>
      </c>
      <c r="F8" s="19" t="s">
        <v>11</v>
      </c>
    </row>
    <row r="9" spans="1:6" x14ac:dyDescent="0.3">
      <c r="A9" s="20">
        <v>45996</v>
      </c>
      <c r="B9" s="21" t="s">
        <v>11</v>
      </c>
      <c r="C9" s="21">
        <v>20551.120200000001</v>
      </c>
      <c r="D9" s="19">
        <v>21266.5324</v>
      </c>
      <c r="E9" s="19" t="s">
        <v>11</v>
      </c>
      <c r="F9" s="19" t="s">
        <v>11</v>
      </c>
    </row>
    <row r="10" spans="1:6" x14ac:dyDescent="0.3">
      <c r="A10" s="20">
        <v>46003</v>
      </c>
      <c r="B10" s="21" t="s">
        <v>11</v>
      </c>
      <c r="C10" s="21">
        <v>20549.742200000001</v>
      </c>
      <c r="D10" s="19">
        <v>20904.978299999999</v>
      </c>
      <c r="E10" s="19" t="s">
        <v>11</v>
      </c>
      <c r="F10" s="19" t="s">
        <v>11</v>
      </c>
    </row>
    <row r="11" spans="1:6" x14ac:dyDescent="0.3">
      <c r="A11" s="20">
        <v>46010</v>
      </c>
      <c r="B11" s="21" t="s">
        <v>11</v>
      </c>
      <c r="C11" s="21">
        <v>20551.399799999999</v>
      </c>
      <c r="D11" s="19">
        <v>21123.041000000001</v>
      </c>
      <c r="E11" s="19" t="s">
        <v>11</v>
      </c>
      <c r="F11" s="19" t="s">
        <v>11</v>
      </c>
    </row>
    <row r="12" spans="1:6" x14ac:dyDescent="0.3">
      <c r="A12" s="20">
        <v>46017</v>
      </c>
      <c r="B12" s="21" t="s">
        <v>11</v>
      </c>
      <c r="C12" s="21">
        <v>20555.079300000001</v>
      </c>
      <c r="D12" s="19">
        <v>19353.332699999999</v>
      </c>
      <c r="E12" s="19" t="s">
        <v>11</v>
      </c>
      <c r="F12" s="19" t="s">
        <v>11</v>
      </c>
    </row>
    <row r="13" spans="1:6" x14ac:dyDescent="0.3">
      <c r="A13" s="20">
        <v>46024</v>
      </c>
      <c r="B13" s="21" t="s">
        <v>11</v>
      </c>
      <c r="C13" s="21">
        <v>20557.717499999999</v>
      </c>
      <c r="D13" s="19">
        <v>20146.914199999999</v>
      </c>
      <c r="E13" s="19" t="s">
        <v>11</v>
      </c>
      <c r="F13" s="19" t="s">
        <v>11</v>
      </c>
    </row>
    <row r="14" spans="1:6" x14ac:dyDescent="0.3">
      <c r="D14" s="27" t="s">
        <v>12</v>
      </c>
      <c r="E14" s="28" cm="1">
        <f t="array" ref="E14">SUM(ABS(E2:E5))</f>
        <v>8.3816589013310433E-2</v>
      </c>
      <c r="F14" s="28" cm="1">
        <f t="array" ref="F14">SUM(ABS(F2:F5))</f>
        <v>9.4614993265833641E-2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91E9-3073-4F5F-8E8C-D0E31352CD99}">
  <dimension ref="A1:G28"/>
  <sheetViews>
    <sheetView topLeftCell="A15" workbookViewId="0">
      <selection activeCell="B28" sqref="B1:B28"/>
    </sheetView>
  </sheetViews>
  <sheetFormatPr defaultRowHeight="14.4" x14ac:dyDescent="0.3"/>
  <sheetData>
    <row r="1" spans="1:7" ht="15" thickBot="1" x14ac:dyDescent="0.35">
      <c r="A1" s="6">
        <v>1796</v>
      </c>
      <c r="B1" s="7">
        <v>19347.7094</v>
      </c>
      <c r="C1" s="7">
        <v>689.40570000000002</v>
      </c>
      <c r="D1" s="7">
        <v>17996.499199999998</v>
      </c>
      <c r="E1" s="7">
        <v>20698.919699999999</v>
      </c>
      <c r="F1" s="7">
        <v>19481</v>
      </c>
      <c r="G1" s="8">
        <v>133.29060000000001</v>
      </c>
    </row>
    <row r="2" spans="1:7" ht="15" thickBot="1" x14ac:dyDescent="0.35">
      <c r="A2" s="9">
        <v>1797</v>
      </c>
      <c r="B2" s="5">
        <v>19197.463500000002</v>
      </c>
      <c r="C2" s="5">
        <v>689.40570000000002</v>
      </c>
      <c r="D2" s="5">
        <v>17846.2533</v>
      </c>
      <c r="E2" s="5">
        <v>20548.6738</v>
      </c>
      <c r="F2" s="5">
        <v>19123</v>
      </c>
      <c r="G2" s="10">
        <v>-74.463499999999996</v>
      </c>
    </row>
    <row r="3" spans="1:7" ht="15" thickBot="1" x14ac:dyDescent="0.35">
      <c r="A3" s="9">
        <v>1798</v>
      </c>
      <c r="B3" s="5">
        <v>19781.316800000001</v>
      </c>
      <c r="C3" s="5">
        <v>689.40570000000002</v>
      </c>
      <c r="D3" s="5">
        <v>18430.106500000002</v>
      </c>
      <c r="E3" s="5">
        <v>21132.526999999998</v>
      </c>
      <c r="F3" s="5">
        <v>20875</v>
      </c>
      <c r="G3" s="11">
        <v>1093.6831999999999</v>
      </c>
    </row>
    <row r="4" spans="1:7" ht="15" thickBot="1" x14ac:dyDescent="0.35">
      <c r="A4" s="9">
        <v>1799</v>
      </c>
      <c r="B4" s="5">
        <v>20114.604299999999</v>
      </c>
      <c r="C4" s="5">
        <v>689.40570000000002</v>
      </c>
      <c r="D4" s="5">
        <v>18763.394</v>
      </c>
      <c r="E4" s="5">
        <v>21465.8145</v>
      </c>
      <c r="F4" s="5">
        <v>19154</v>
      </c>
      <c r="G4" s="10">
        <v>-960.60429999999997</v>
      </c>
    </row>
    <row r="5" spans="1:7" ht="15" thickBot="1" x14ac:dyDescent="0.35">
      <c r="A5" s="9">
        <v>1800</v>
      </c>
      <c r="B5" s="5">
        <v>19557.256300000001</v>
      </c>
      <c r="C5" s="5">
        <v>689.40570000000002</v>
      </c>
      <c r="D5" s="5">
        <v>18206.045999999998</v>
      </c>
      <c r="E5" s="5">
        <v>20908.466499999999</v>
      </c>
      <c r="F5" s="5">
        <v>19872</v>
      </c>
      <c r="G5" s="11">
        <v>314.74369999999999</v>
      </c>
    </row>
    <row r="6" spans="1:7" ht="15" thickBot="1" x14ac:dyDescent="0.35">
      <c r="A6" s="9">
        <v>1801</v>
      </c>
      <c r="B6" s="5">
        <v>19940.365600000001</v>
      </c>
      <c r="C6" s="5">
        <v>689.40570000000002</v>
      </c>
      <c r="D6" s="5">
        <v>18589.155299999999</v>
      </c>
      <c r="E6" s="5">
        <v>21291.5759</v>
      </c>
      <c r="F6" s="5">
        <v>19441</v>
      </c>
      <c r="G6" s="10">
        <v>-499.36559999999997</v>
      </c>
    </row>
    <row r="7" spans="1:7" ht="15" thickBot="1" x14ac:dyDescent="0.35">
      <c r="A7" s="9">
        <v>1802</v>
      </c>
      <c r="B7" s="5">
        <v>20079.4784</v>
      </c>
      <c r="C7" s="5">
        <v>689.40570000000002</v>
      </c>
      <c r="D7" s="5">
        <v>18728.268199999999</v>
      </c>
      <c r="E7" s="5">
        <v>21430.688699999999</v>
      </c>
      <c r="F7" s="5">
        <v>20031</v>
      </c>
      <c r="G7" s="10">
        <v>-48.478400000000001</v>
      </c>
    </row>
    <row r="8" spans="1:7" ht="15" thickBot="1" x14ac:dyDescent="0.35">
      <c r="A8" s="9">
        <v>1803</v>
      </c>
      <c r="B8" s="5">
        <v>19313.533299999999</v>
      </c>
      <c r="C8" s="5">
        <v>689.40570000000002</v>
      </c>
      <c r="D8" s="5">
        <v>17962.323100000001</v>
      </c>
      <c r="E8" s="5">
        <v>20664.743600000002</v>
      </c>
      <c r="F8" s="5">
        <v>20242</v>
      </c>
      <c r="G8" s="11">
        <v>928.46669999999995</v>
      </c>
    </row>
    <row r="9" spans="1:7" ht="15" thickBot="1" x14ac:dyDescent="0.35">
      <c r="A9" s="9">
        <v>1804</v>
      </c>
      <c r="B9" s="5">
        <v>19798.3102</v>
      </c>
      <c r="C9" s="5">
        <v>689.40570000000002</v>
      </c>
      <c r="D9" s="5">
        <v>18447.099999999999</v>
      </c>
      <c r="E9" s="5">
        <v>21149.520499999999</v>
      </c>
      <c r="F9" s="5">
        <v>19528</v>
      </c>
      <c r="G9" s="10">
        <v>-270.31020000000001</v>
      </c>
    </row>
    <row r="10" spans="1:7" ht="15" thickBot="1" x14ac:dyDescent="0.35">
      <c r="A10" s="9">
        <v>1805</v>
      </c>
      <c r="B10" s="5">
        <v>20437.4182</v>
      </c>
      <c r="C10" s="5">
        <v>689.40570000000002</v>
      </c>
      <c r="D10" s="5">
        <v>19086.207999999999</v>
      </c>
      <c r="E10" s="5">
        <v>21788.628499999999</v>
      </c>
      <c r="F10" s="5">
        <v>19762</v>
      </c>
      <c r="G10" s="10">
        <v>-675.41819999999996</v>
      </c>
    </row>
    <row r="11" spans="1:7" ht="15" thickBot="1" x14ac:dyDescent="0.35">
      <c r="A11" s="9">
        <v>1806</v>
      </c>
      <c r="B11" s="5">
        <v>20806.842100000002</v>
      </c>
      <c r="C11" s="5">
        <v>689.40570000000002</v>
      </c>
      <c r="D11" s="5">
        <v>19455.6319</v>
      </c>
      <c r="E11" s="5">
        <v>22158.0524</v>
      </c>
      <c r="F11" s="5">
        <v>20391</v>
      </c>
      <c r="G11" s="10">
        <v>-415.84210000000002</v>
      </c>
    </row>
    <row r="12" spans="1:7" ht="15" thickBot="1" x14ac:dyDescent="0.35">
      <c r="A12" s="9">
        <v>1807</v>
      </c>
      <c r="B12" s="5">
        <v>20564.627100000002</v>
      </c>
      <c r="C12" s="5">
        <v>689.40570000000002</v>
      </c>
      <c r="D12" s="5">
        <v>19213.416799999999</v>
      </c>
      <c r="E12" s="5">
        <v>21915.837299999999</v>
      </c>
      <c r="F12" s="5">
        <v>20513</v>
      </c>
      <c r="G12" s="10">
        <v>-51.627099999999999</v>
      </c>
    </row>
    <row r="13" spans="1:7" ht="15" thickBot="1" x14ac:dyDescent="0.35">
      <c r="A13" s="9">
        <v>1808</v>
      </c>
      <c r="B13" s="5">
        <v>20779.259999999998</v>
      </c>
      <c r="C13" s="5">
        <v>689.40570000000002</v>
      </c>
      <c r="D13" s="5">
        <v>19428.0497</v>
      </c>
      <c r="E13" s="5">
        <v>22130.4702</v>
      </c>
      <c r="F13" s="5">
        <v>20487</v>
      </c>
      <c r="G13" s="10">
        <v>-292.26</v>
      </c>
    </row>
    <row r="14" spans="1:7" ht="15" thickBot="1" x14ac:dyDescent="0.35">
      <c r="A14" s="9">
        <v>1809</v>
      </c>
      <c r="B14" s="5">
        <v>20180.217700000001</v>
      </c>
      <c r="C14" s="5">
        <v>689.40570000000002</v>
      </c>
      <c r="D14" s="5">
        <v>18829.007399999999</v>
      </c>
      <c r="E14" s="5">
        <v>21531.427899999999</v>
      </c>
      <c r="F14" s="5">
        <v>20863</v>
      </c>
      <c r="G14" s="11">
        <v>682.78229999999996</v>
      </c>
    </row>
    <row r="15" spans="1:7" ht="15" thickBot="1" x14ac:dyDescent="0.35">
      <c r="A15" s="9">
        <v>1810</v>
      </c>
      <c r="B15" s="5">
        <v>20815.563999999998</v>
      </c>
      <c r="C15" s="5">
        <v>689.40570000000002</v>
      </c>
      <c r="D15" s="5">
        <v>19464.353800000001</v>
      </c>
      <c r="E15" s="5">
        <v>22166.774300000001</v>
      </c>
      <c r="F15" s="5">
        <v>19184</v>
      </c>
      <c r="G15" s="10">
        <v>-1631.5640000000001</v>
      </c>
    </row>
    <row r="16" spans="1:7" ht="15" thickBot="1" x14ac:dyDescent="0.35">
      <c r="A16" s="9">
        <v>1811</v>
      </c>
      <c r="B16" s="5">
        <v>20752.166300000001</v>
      </c>
      <c r="C16" s="5">
        <v>689.40570000000002</v>
      </c>
      <c r="D16" s="5">
        <v>19400.955999999998</v>
      </c>
      <c r="E16" s="5">
        <v>22103.3766</v>
      </c>
      <c r="F16" s="5">
        <v>21770</v>
      </c>
      <c r="G16" s="11">
        <v>1017.8337</v>
      </c>
    </row>
    <row r="17" spans="1:7" ht="15" thickBot="1" x14ac:dyDescent="0.35">
      <c r="A17" s="9">
        <v>1812</v>
      </c>
      <c r="B17" s="5">
        <v>20735.455999999998</v>
      </c>
      <c r="C17" s="5">
        <v>689.40570000000002</v>
      </c>
      <c r="D17" s="5">
        <v>19384.245800000001</v>
      </c>
      <c r="E17" s="5">
        <v>22086.666300000001</v>
      </c>
      <c r="F17" s="5">
        <v>21387</v>
      </c>
      <c r="G17" s="11">
        <v>651.54399999999998</v>
      </c>
    </row>
    <row r="18" spans="1:7" ht="15" thickBot="1" x14ac:dyDescent="0.35">
      <c r="A18" s="9">
        <v>1813</v>
      </c>
      <c r="B18" s="5">
        <v>20707.190200000001</v>
      </c>
      <c r="C18" s="5">
        <v>689.40570000000002</v>
      </c>
      <c r="D18" s="5">
        <v>19355.979899999998</v>
      </c>
      <c r="E18" s="5">
        <v>22058.400399999999</v>
      </c>
      <c r="F18" s="5">
        <v>20122</v>
      </c>
      <c r="G18" s="10">
        <v>-585.1902</v>
      </c>
    </row>
    <row r="19" spans="1:7" ht="15" thickBot="1" x14ac:dyDescent="0.35">
      <c r="A19" s="9">
        <v>1814</v>
      </c>
      <c r="B19" s="5">
        <v>20906.520799999998</v>
      </c>
      <c r="C19" s="5">
        <v>689.40570000000002</v>
      </c>
      <c r="D19" s="5">
        <v>19555.310600000001</v>
      </c>
      <c r="E19" s="5">
        <v>22257.731100000001</v>
      </c>
      <c r="F19" s="5">
        <v>21357</v>
      </c>
      <c r="G19" s="11">
        <v>450.47919999999999</v>
      </c>
    </row>
    <row r="20" spans="1:7" ht="15" thickBot="1" x14ac:dyDescent="0.35">
      <c r="A20" s="9">
        <v>1815</v>
      </c>
      <c r="B20" s="5">
        <v>21064.0785</v>
      </c>
      <c r="C20" s="5">
        <v>689.40570000000002</v>
      </c>
      <c r="D20" s="5">
        <v>19712.868200000001</v>
      </c>
      <c r="E20" s="5">
        <v>22415.288799999998</v>
      </c>
      <c r="F20" s="5">
        <v>21506</v>
      </c>
      <c r="G20" s="11">
        <v>441.92149999999998</v>
      </c>
    </row>
    <row r="21" spans="1:7" ht="15" thickBot="1" x14ac:dyDescent="0.35">
      <c r="A21" s="9">
        <v>1816</v>
      </c>
      <c r="B21" s="5">
        <v>21100.391100000001</v>
      </c>
      <c r="C21" s="5">
        <v>689.40570000000002</v>
      </c>
      <c r="D21" s="5">
        <v>19749.180799999998</v>
      </c>
      <c r="E21" s="5">
        <v>22451.601299999998</v>
      </c>
      <c r="F21" s="5">
        <v>21614</v>
      </c>
      <c r="G21" s="11">
        <v>513.60889999999995</v>
      </c>
    </row>
    <row r="22" spans="1:7" ht="15" thickBot="1" x14ac:dyDescent="0.35">
      <c r="A22" s="9">
        <v>1817</v>
      </c>
      <c r="B22" s="5">
        <v>20639.4385</v>
      </c>
      <c r="C22" s="5">
        <v>689.40570000000002</v>
      </c>
      <c r="D22" s="5">
        <v>19288.228200000001</v>
      </c>
      <c r="E22" s="5">
        <v>21990.648700000002</v>
      </c>
      <c r="F22" s="5">
        <v>20652</v>
      </c>
      <c r="G22" s="11">
        <v>12.561500000000001</v>
      </c>
    </row>
    <row r="23" spans="1:7" ht="15" thickBot="1" x14ac:dyDescent="0.35">
      <c r="A23" s="9">
        <v>1818</v>
      </c>
      <c r="B23" s="5">
        <v>20381.337</v>
      </c>
      <c r="C23" s="5">
        <v>689.40570000000002</v>
      </c>
      <c r="D23" s="5">
        <v>19030.126700000001</v>
      </c>
      <c r="E23" s="5">
        <v>21732.547200000001</v>
      </c>
      <c r="F23" s="5">
        <v>19781</v>
      </c>
      <c r="G23" s="10">
        <v>-600.33699999999999</v>
      </c>
    </row>
    <row r="24" spans="1:7" ht="15" thickBot="1" x14ac:dyDescent="0.35">
      <c r="A24" s="9">
        <v>1819</v>
      </c>
      <c r="B24" s="5">
        <v>20496.7605</v>
      </c>
      <c r="C24" s="5">
        <v>689.40570000000002</v>
      </c>
      <c r="D24" s="5">
        <v>19145.550200000001</v>
      </c>
      <c r="E24" s="5">
        <v>21847.970700000002</v>
      </c>
      <c r="F24" s="5">
        <v>20637</v>
      </c>
      <c r="G24" s="11">
        <v>140.23949999999999</v>
      </c>
    </row>
    <row r="25" spans="1:7" ht="15" thickBot="1" x14ac:dyDescent="0.35">
      <c r="A25" s="9">
        <v>1820</v>
      </c>
      <c r="B25" s="5">
        <v>20659.406200000001</v>
      </c>
      <c r="C25" s="5">
        <v>689.40570000000002</v>
      </c>
      <c r="D25" s="5">
        <v>19308.196</v>
      </c>
      <c r="E25" s="5">
        <v>22010.6165</v>
      </c>
      <c r="F25" s="5">
        <v>20793</v>
      </c>
      <c r="G25" s="11">
        <v>133.59379999999999</v>
      </c>
    </row>
    <row r="26" spans="1:7" ht="15" thickBot="1" x14ac:dyDescent="0.35">
      <c r="A26" s="9">
        <v>1821</v>
      </c>
      <c r="B26" s="5">
        <v>20600.266299999999</v>
      </c>
      <c r="C26" s="5">
        <v>689.40570000000002</v>
      </c>
      <c r="D26" s="5">
        <v>19249.056100000002</v>
      </c>
      <c r="E26" s="5">
        <v>21951.476600000002</v>
      </c>
      <c r="F26" s="5">
        <v>20166</v>
      </c>
      <c r="G26" s="10">
        <v>-434.2663</v>
      </c>
    </row>
    <row r="27" spans="1:7" ht="15" thickBot="1" x14ac:dyDescent="0.35">
      <c r="A27" s="9">
        <v>1822</v>
      </c>
      <c r="B27" s="5">
        <v>20420.172699999999</v>
      </c>
      <c r="C27" s="5">
        <v>689.40570000000002</v>
      </c>
      <c r="D27" s="5">
        <v>19068.9624</v>
      </c>
      <c r="E27" s="5">
        <v>21771.382900000001</v>
      </c>
      <c r="F27" s="5">
        <v>21990</v>
      </c>
      <c r="G27" s="11">
        <v>1569.8272999999999</v>
      </c>
    </row>
    <row r="28" spans="1:7" x14ac:dyDescent="0.3">
      <c r="A28" s="12">
        <v>1823</v>
      </c>
      <c r="B28" s="13">
        <v>21431.435300000001</v>
      </c>
      <c r="C28" s="13">
        <v>689.40570000000002</v>
      </c>
      <c r="D28" s="13">
        <v>20080.2251</v>
      </c>
      <c r="E28" s="13">
        <v>22782.6456</v>
      </c>
      <c r="F28" s="13">
        <v>19726</v>
      </c>
      <c r="G28" s="17">
        <v>-1705.4353000000001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0423-7512-49DF-8387-C0FC4E3EC544}">
  <dimension ref="A1:G28"/>
  <sheetViews>
    <sheetView topLeftCell="A15" workbookViewId="0">
      <selection activeCell="B28" sqref="B1:B28"/>
    </sheetView>
  </sheetViews>
  <sheetFormatPr defaultRowHeight="14.4" x14ac:dyDescent="0.3"/>
  <sheetData>
    <row r="1" spans="1:7" ht="15" thickBot="1" x14ac:dyDescent="0.35">
      <c r="A1" s="6">
        <v>1796</v>
      </c>
      <c r="B1" s="7">
        <v>19291.849699999999</v>
      </c>
      <c r="C1" s="7">
        <v>709.29</v>
      </c>
      <c r="D1" s="7">
        <v>17901.6669</v>
      </c>
      <c r="E1" s="7">
        <v>20682.032500000001</v>
      </c>
      <c r="F1" s="7">
        <v>19481</v>
      </c>
      <c r="G1" s="8">
        <v>189.15029999999999</v>
      </c>
    </row>
    <row r="2" spans="1:7" ht="15" thickBot="1" x14ac:dyDescent="0.35">
      <c r="A2" s="9">
        <v>1797</v>
      </c>
      <c r="B2" s="5">
        <v>19154.779600000002</v>
      </c>
      <c r="C2" s="5">
        <v>709.29</v>
      </c>
      <c r="D2" s="5">
        <v>17764.596799999999</v>
      </c>
      <c r="E2" s="5">
        <v>20544.9624</v>
      </c>
      <c r="F2" s="5">
        <v>19123</v>
      </c>
      <c r="G2" s="10">
        <v>-31.779599999999999</v>
      </c>
    </row>
    <row r="3" spans="1:7" ht="15" thickBot="1" x14ac:dyDescent="0.35">
      <c r="A3" s="9">
        <v>1798</v>
      </c>
      <c r="B3" s="5">
        <v>19784.2601</v>
      </c>
      <c r="C3" s="5">
        <v>709.29</v>
      </c>
      <c r="D3" s="5">
        <v>18394.077300000001</v>
      </c>
      <c r="E3" s="5">
        <v>21174.442899999998</v>
      </c>
      <c r="F3" s="5">
        <v>20875</v>
      </c>
      <c r="G3" s="11">
        <v>1090.7399</v>
      </c>
    </row>
    <row r="4" spans="1:7" ht="15" thickBot="1" x14ac:dyDescent="0.35">
      <c r="A4" s="9">
        <v>1799</v>
      </c>
      <c r="B4" s="5">
        <v>20124.5461</v>
      </c>
      <c r="C4" s="5">
        <v>709.29</v>
      </c>
      <c r="D4" s="5">
        <v>18734.363300000001</v>
      </c>
      <c r="E4" s="5">
        <v>21514.728899999998</v>
      </c>
      <c r="F4" s="5">
        <v>19154</v>
      </c>
      <c r="G4" s="10">
        <v>-970.54610000000002</v>
      </c>
    </row>
    <row r="5" spans="1:7" ht="15" thickBot="1" x14ac:dyDescent="0.35">
      <c r="A5" s="9">
        <v>1800</v>
      </c>
      <c r="B5" s="5">
        <v>19734.629300000001</v>
      </c>
      <c r="C5" s="5">
        <v>709.29</v>
      </c>
      <c r="D5" s="5">
        <v>18344.446499999998</v>
      </c>
      <c r="E5" s="5">
        <v>21124.812099999999</v>
      </c>
      <c r="F5" s="5">
        <v>19872</v>
      </c>
      <c r="G5" s="11">
        <v>137.3707</v>
      </c>
    </row>
    <row r="6" spans="1:7" ht="15" thickBot="1" x14ac:dyDescent="0.35">
      <c r="A6" s="9">
        <v>1801</v>
      </c>
      <c r="B6" s="5">
        <v>19888.604299999999</v>
      </c>
      <c r="C6" s="5">
        <v>709.29</v>
      </c>
      <c r="D6" s="5">
        <v>18498.4215</v>
      </c>
      <c r="E6" s="5">
        <v>21278.787100000001</v>
      </c>
      <c r="F6" s="5">
        <v>19441</v>
      </c>
      <c r="G6" s="10">
        <v>-447.60430000000002</v>
      </c>
    </row>
    <row r="7" spans="1:7" ht="15" thickBot="1" x14ac:dyDescent="0.35">
      <c r="A7" s="9">
        <v>1802</v>
      </c>
      <c r="B7" s="5">
        <v>20055.827300000001</v>
      </c>
      <c r="C7" s="5">
        <v>709.29</v>
      </c>
      <c r="D7" s="5">
        <v>18665.644499999999</v>
      </c>
      <c r="E7" s="5">
        <v>21446.0101</v>
      </c>
      <c r="F7" s="5">
        <v>20031</v>
      </c>
      <c r="G7" s="10">
        <v>-24.827300000000001</v>
      </c>
    </row>
    <row r="8" spans="1:7" ht="15" thickBot="1" x14ac:dyDescent="0.35">
      <c r="A8" s="9">
        <v>1803</v>
      </c>
      <c r="B8" s="5">
        <v>19246.119699999999</v>
      </c>
      <c r="C8" s="5">
        <v>709.29</v>
      </c>
      <c r="D8" s="5">
        <v>17855.936900000001</v>
      </c>
      <c r="E8" s="5">
        <v>20636.3024</v>
      </c>
      <c r="F8" s="5">
        <v>20242</v>
      </c>
      <c r="G8" s="11">
        <v>995.88030000000003</v>
      </c>
    </row>
    <row r="9" spans="1:7" ht="15" thickBot="1" x14ac:dyDescent="0.35">
      <c r="A9" s="9">
        <v>1804</v>
      </c>
      <c r="B9" s="5">
        <v>20121.680799999998</v>
      </c>
      <c r="C9" s="5">
        <v>709.29</v>
      </c>
      <c r="D9" s="5">
        <v>18731.498</v>
      </c>
      <c r="E9" s="5">
        <v>21511.863600000001</v>
      </c>
      <c r="F9" s="5">
        <v>19528</v>
      </c>
      <c r="G9" s="10">
        <v>-593.68079999999998</v>
      </c>
    </row>
    <row r="10" spans="1:7" ht="15" thickBot="1" x14ac:dyDescent="0.35">
      <c r="A10" s="9">
        <v>1805</v>
      </c>
      <c r="B10" s="5">
        <v>20109.504300000001</v>
      </c>
      <c r="C10" s="5">
        <v>709.29</v>
      </c>
      <c r="D10" s="5">
        <v>18719.321499999998</v>
      </c>
      <c r="E10" s="5">
        <v>21499.687099999999</v>
      </c>
      <c r="F10" s="5">
        <v>19762</v>
      </c>
      <c r="G10" s="10">
        <v>-347.5043</v>
      </c>
    </row>
    <row r="11" spans="1:7" ht="15" thickBot="1" x14ac:dyDescent="0.35">
      <c r="A11" s="9">
        <v>1806</v>
      </c>
      <c r="B11" s="5">
        <v>20584.3737</v>
      </c>
      <c r="C11" s="5">
        <v>709.29</v>
      </c>
      <c r="D11" s="5">
        <v>19194.190900000001</v>
      </c>
      <c r="E11" s="5">
        <v>21974.556499999999</v>
      </c>
      <c r="F11" s="5">
        <v>20391</v>
      </c>
      <c r="G11" s="10">
        <v>-193.37370000000001</v>
      </c>
    </row>
    <row r="12" spans="1:7" ht="15" thickBot="1" x14ac:dyDescent="0.35">
      <c r="A12" s="9">
        <v>1807</v>
      </c>
      <c r="B12" s="5">
        <v>20373.1492</v>
      </c>
      <c r="C12" s="5">
        <v>709.29</v>
      </c>
      <c r="D12" s="5">
        <v>18982.966400000001</v>
      </c>
      <c r="E12" s="5">
        <v>21763.331999999999</v>
      </c>
      <c r="F12" s="5">
        <v>20513</v>
      </c>
      <c r="G12" s="11">
        <v>139.85079999999999</v>
      </c>
    </row>
    <row r="13" spans="1:7" ht="15" thickBot="1" x14ac:dyDescent="0.35">
      <c r="A13" s="9">
        <v>1808</v>
      </c>
      <c r="B13" s="5">
        <v>20657.576499999999</v>
      </c>
      <c r="C13" s="5">
        <v>709.29</v>
      </c>
      <c r="D13" s="5">
        <v>19267.393700000001</v>
      </c>
      <c r="E13" s="5">
        <v>22047.759300000002</v>
      </c>
      <c r="F13" s="5">
        <v>20487</v>
      </c>
      <c r="G13" s="10">
        <v>-170.57650000000001</v>
      </c>
    </row>
    <row r="14" spans="1:7" ht="15" thickBot="1" x14ac:dyDescent="0.35">
      <c r="A14" s="9">
        <v>1809</v>
      </c>
      <c r="B14" s="5">
        <v>19980.787499999999</v>
      </c>
      <c r="C14" s="5">
        <v>709.29</v>
      </c>
      <c r="D14" s="5">
        <v>18590.6047</v>
      </c>
      <c r="E14" s="5">
        <v>21370.9702</v>
      </c>
      <c r="F14" s="5">
        <v>20863</v>
      </c>
      <c r="G14" s="11">
        <v>882.21249999999998</v>
      </c>
    </row>
    <row r="15" spans="1:7" ht="15" thickBot="1" x14ac:dyDescent="0.35">
      <c r="A15" s="9">
        <v>1810</v>
      </c>
      <c r="B15" s="5">
        <v>20687.305799999998</v>
      </c>
      <c r="C15" s="5">
        <v>709.29</v>
      </c>
      <c r="D15" s="5">
        <v>19297.123</v>
      </c>
      <c r="E15" s="5">
        <v>22077.488600000001</v>
      </c>
      <c r="F15" s="5">
        <v>19184</v>
      </c>
      <c r="G15" s="10">
        <v>-1503.3058000000001</v>
      </c>
    </row>
    <row r="16" spans="1:7" ht="15" thickBot="1" x14ac:dyDescent="0.35">
      <c r="A16" s="9">
        <v>1811</v>
      </c>
      <c r="B16" s="5">
        <v>20676.389500000001</v>
      </c>
      <c r="C16" s="5">
        <v>709.29</v>
      </c>
      <c r="D16" s="5">
        <v>19286.206699999999</v>
      </c>
      <c r="E16" s="5">
        <v>22066.5723</v>
      </c>
      <c r="F16" s="5">
        <v>21770</v>
      </c>
      <c r="G16" s="11">
        <v>1093.6105</v>
      </c>
    </row>
    <row r="17" spans="1:7" ht="15" thickBot="1" x14ac:dyDescent="0.35">
      <c r="A17" s="9">
        <v>1812</v>
      </c>
      <c r="B17" s="5">
        <v>20650.552100000001</v>
      </c>
      <c r="C17" s="5">
        <v>709.29</v>
      </c>
      <c r="D17" s="5">
        <v>19260.369299999998</v>
      </c>
      <c r="E17" s="5">
        <v>22040.734899999999</v>
      </c>
      <c r="F17" s="5">
        <v>21387</v>
      </c>
      <c r="G17" s="11">
        <v>736.4479</v>
      </c>
    </row>
    <row r="18" spans="1:7" ht="15" thickBot="1" x14ac:dyDescent="0.35">
      <c r="A18" s="9">
        <v>1813</v>
      </c>
      <c r="B18" s="5">
        <v>20637.954600000001</v>
      </c>
      <c r="C18" s="5">
        <v>709.29</v>
      </c>
      <c r="D18" s="5">
        <v>19247.771799999999</v>
      </c>
      <c r="E18" s="5">
        <v>22028.1374</v>
      </c>
      <c r="F18" s="5">
        <v>20122</v>
      </c>
      <c r="G18" s="10">
        <v>-515.95460000000003</v>
      </c>
    </row>
    <row r="19" spans="1:7" ht="15" thickBot="1" x14ac:dyDescent="0.35">
      <c r="A19" s="9">
        <v>1814</v>
      </c>
      <c r="B19" s="5">
        <v>20904.0753</v>
      </c>
      <c r="C19" s="5">
        <v>709.29</v>
      </c>
      <c r="D19" s="5">
        <v>19513.892500000002</v>
      </c>
      <c r="E19" s="5">
        <v>22294.258099999999</v>
      </c>
      <c r="F19" s="5">
        <v>21357</v>
      </c>
      <c r="G19" s="11">
        <v>452.92469999999997</v>
      </c>
    </row>
    <row r="20" spans="1:7" ht="15" thickBot="1" x14ac:dyDescent="0.35">
      <c r="A20" s="9">
        <v>1815</v>
      </c>
      <c r="B20" s="5">
        <v>21053.374299999999</v>
      </c>
      <c r="C20" s="5">
        <v>709.29</v>
      </c>
      <c r="D20" s="5">
        <v>19663.191500000001</v>
      </c>
      <c r="E20" s="5">
        <v>22443.557100000002</v>
      </c>
      <c r="F20" s="5">
        <v>21506</v>
      </c>
      <c r="G20" s="11">
        <v>452.62569999999999</v>
      </c>
    </row>
    <row r="21" spans="1:7" ht="15" thickBot="1" x14ac:dyDescent="0.35">
      <c r="A21" s="9">
        <v>1816</v>
      </c>
      <c r="B21" s="5">
        <v>21156.328099999999</v>
      </c>
      <c r="C21" s="5">
        <v>709.29</v>
      </c>
      <c r="D21" s="5">
        <v>19766.1453</v>
      </c>
      <c r="E21" s="5">
        <v>22546.510900000001</v>
      </c>
      <c r="F21" s="5">
        <v>21614</v>
      </c>
      <c r="G21" s="11">
        <v>457.67189999999999</v>
      </c>
    </row>
    <row r="22" spans="1:7" ht="15" thickBot="1" x14ac:dyDescent="0.35">
      <c r="A22" s="9">
        <v>1817</v>
      </c>
      <c r="B22" s="5">
        <v>20628.353500000001</v>
      </c>
      <c r="C22" s="5">
        <v>709.29</v>
      </c>
      <c r="D22" s="5">
        <v>19238.170699999999</v>
      </c>
      <c r="E22" s="5">
        <v>22018.5363</v>
      </c>
      <c r="F22" s="5">
        <v>20652</v>
      </c>
      <c r="G22" s="11">
        <v>23.6465</v>
      </c>
    </row>
    <row r="23" spans="1:7" ht="15" thickBot="1" x14ac:dyDescent="0.35">
      <c r="A23" s="9">
        <v>1818</v>
      </c>
      <c r="B23" s="5">
        <v>20333.697199999999</v>
      </c>
      <c r="C23" s="5">
        <v>709.29</v>
      </c>
      <c r="D23" s="5">
        <v>18943.5144</v>
      </c>
      <c r="E23" s="5">
        <v>21723.88</v>
      </c>
      <c r="F23" s="5">
        <v>19781</v>
      </c>
      <c r="G23" s="10">
        <v>-552.69719999999995</v>
      </c>
    </row>
    <row r="24" spans="1:7" ht="15" thickBot="1" x14ac:dyDescent="0.35">
      <c r="A24" s="9">
        <v>1819</v>
      </c>
      <c r="B24" s="5">
        <v>20473.4624</v>
      </c>
      <c r="C24" s="5">
        <v>709.29</v>
      </c>
      <c r="D24" s="5">
        <v>19083.279600000002</v>
      </c>
      <c r="E24" s="5">
        <v>21863.645199999999</v>
      </c>
      <c r="F24" s="5">
        <v>20637</v>
      </c>
      <c r="G24" s="11">
        <v>163.5376</v>
      </c>
    </row>
    <row r="25" spans="1:7" ht="15" thickBot="1" x14ac:dyDescent="0.35">
      <c r="A25" s="9">
        <v>1820</v>
      </c>
      <c r="B25" s="5">
        <v>20677.5327</v>
      </c>
      <c r="C25" s="5">
        <v>709.29</v>
      </c>
      <c r="D25" s="5">
        <v>19287.349900000001</v>
      </c>
      <c r="E25" s="5">
        <v>22067.715499999998</v>
      </c>
      <c r="F25" s="5">
        <v>20793</v>
      </c>
      <c r="G25" s="11">
        <v>115.46729999999999</v>
      </c>
    </row>
    <row r="26" spans="1:7" ht="15" thickBot="1" x14ac:dyDescent="0.35">
      <c r="A26" s="9">
        <v>1821</v>
      </c>
      <c r="B26" s="5">
        <v>20562.443299999999</v>
      </c>
      <c r="C26" s="5">
        <v>709.29</v>
      </c>
      <c r="D26" s="5">
        <v>19172.2605</v>
      </c>
      <c r="E26" s="5">
        <v>21952.626100000001</v>
      </c>
      <c r="F26" s="5">
        <v>20166</v>
      </c>
      <c r="G26" s="10">
        <v>-396.44330000000002</v>
      </c>
    </row>
    <row r="27" spans="1:7" ht="15" thickBot="1" x14ac:dyDescent="0.35">
      <c r="A27" s="9">
        <v>1822</v>
      </c>
      <c r="B27" s="5">
        <v>20408.963299999999</v>
      </c>
      <c r="C27" s="5">
        <v>709.29</v>
      </c>
      <c r="D27" s="5">
        <v>19018.780500000001</v>
      </c>
      <c r="E27" s="5">
        <v>21799.146000000001</v>
      </c>
      <c r="F27" s="5">
        <v>21990</v>
      </c>
      <c r="G27" s="11">
        <v>1581.0367000000001</v>
      </c>
    </row>
    <row r="28" spans="1:7" x14ac:dyDescent="0.3">
      <c r="A28" s="12">
        <v>1823</v>
      </c>
      <c r="B28" s="13">
        <v>21475.8629</v>
      </c>
      <c r="C28" s="13">
        <v>709.29</v>
      </c>
      <c r="D28" s="13">
        <v>20085.680100000001</v>
      </c>
      <c r="E28" s="13">
        <v>22866.045699999999</v>
      </c>
      <c r="F28" s="13">
        <v>19726</v>
      </c>
      <c r="G28" s="17">
        <v>-1749.8629000000001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64F9-E74E-4951-8F06-A8C1D23808B4}">
  <dimension ref="A1:G28"/>
  <sheetViews>
    <sheetView workbookViewId="0">
      <selection activeCell="J16" sqref="J16"/>
    </sheetView>
  </sheetViews>
  <sheetFormatPr defaultRowHeight="14.4" x14ac:dyDescent="0.3"/>
  <sheetData>
    <row r="1" spans="1:7" ht="15" thickBot="1" x14ac:dyDescent="0.35">
      <c r="A1" s="6">
        <v>1796</v>
      </c>
      <c r="B1" s="7">
        <v>20354.108</v>
      </c>
      <c r="C1" s="7">
        <v>647.78740000000005</v>
      </c>
      <c r="D1" s="7">
        <v>19084.468000000001</v>
      </c>
      <c r="E1" s="7">
        <v>21623.748</v>
      </c>
      <c r="F1" s="7">
        <v>19481</v>
      </c>
      <c r="G1" s="15">
        <v>-873.10799999999995</v>
      </c>
    </row>
    <row r="2" spans="1:7" ht="15" thickBot="1" x14ac:dyDescent="0.35">
      <c r="A2" s="9">
        <v>1797</v>
      </c>
      <c r="B2" s="5">
        <v>20174.567599999998</v>
      </c>
      <c r="C2" s="5">
        <v>647.78740000000005</v>
      </c>
      <c r="D2" s="5">
        <v>18904.9277</v>
      </c>
      <c r="E2" s="5">
        <v>21444.207600000002</v>
      </c>
      <c r="F2" s="5">
        <v>19123</v>
      </c>
      <c r="G2" s="10">
        <v>-1051.5676000000001</v>
      </c>
    </row>
    <row r="3" spans="1:7" ht="15" thickBot="1" x14ac:dyDescent="0.35">
      <c r="A3" s="9">
        <v>1798</v>
      </c>
      <c r="B3" s="5">
        <v>19913.3282</v>
      </c>
      <c r="C3" s="5">
        <v>647.78740000000005</v>
      </c>
      <c r="D3" s="5">
        <v>18643.688200000001</v>
      </c>
      <c r="E3" s="5">
        <v>21182.968099999998</v>
      </c>
      <c r="F3" s="5">
        <v>20875</v>
      </c>
      <c r="G3" s="11">
        <v>961.67179999999996</v>
      </c>
    </row>
    <row r="4" spans="1:7" ht="15" thickBot="1" x14ac:dyDescent="0.35">
      <c r="A4" s="9">
        <v>1799</v>
      </c>
      <c r="B4" s="5">
        <v>20231.954399999999</v>
      </c>
      <c r="C4" s="5">
        <v>647.78740000000005</v>
      </c>
      <c r="D4" s="5">
        <v>18962.314399999999</v>
      </c>
      <c r="E4" s="5">
        <v>21501.594400000002</v>
      </c>
      <c r="F4" s="5">
        <v>19154</v>
      </c>
      <c r="G4" s="10">
        <v>-1077.9544000000001</v>
      </c>
    </row>
    <row r="5" spans="1:7" ht="15" thickBot="1" x14ac:dyDescent="0.35">
      <c r="A5" s="9">
        <v>1800</v>
      </c>
      <c r="B5" s="5">
        <v>20059.2824</v>
      </c>
      <c r="C5" s="5">
        <v>647.78740000000005</v>
      </c>
      <c r="D5" s="5">
        <v>18789.642400000001</v>
      </c>
      <c r="E5" s="5">
        <v>21328.922299999998</v>
      </c>
      <c r="F5" s="5">
        <v>19872</v>
      </c>
      <c r="G5" s="10">
        <v>-187.2824</v>
      </c>
    </row>
    <row r="6" spans="1:7" ht="15" thickBot="1" x14ac:dyDescent="0.35">
      <c r="A6" s="9">
        <v>1801</v>
      </c>
      <c r="B6" s="5">
        <v>20036.690600000002</v>
      </c>
      <c r="C6" s="5">
        <v>647.78740000000005</v>
      </c>
      <c r="D6" s="5">
        <v>18767.050599999999</v>
      </c>
      <c r="E6" s="5">
        <v>21306.3305</v>
      </c>
      <c r="F6" s="5">
        <v>19441</v>
      </c>
      <c r="G6" s="10">
        <v>-595.69060000000002</v>
      </c>
    </row>
    <row r="7" spans="1:7" ht="15" thickBot="1" x14ac:dyDescent="0.35">
      <c r="A7" s="9">
        <v>1802</v>
      </c>
      <c r="B7" s="5">
        <v>20063.069899999999</v>
      </c>
      <c r="C7" s="5">
        <v>647.78740000000005</v>
      </c>
      <c r="D7" s="5">
        <v>18793.429899999999</v>
      </c>
      <c r="E7" s="5">
        <v>21332.709800000001</v>
      </c>
      <c r="F7" s="5">
        <v>20031</v>
      </c>
      <c r="G7" s="10">
        <v>-32.069899999999997</v>
      </c>
    </row>
    <row r="8" spans="1:7" ht="15" thickBot="1" x14ac:dyDescent="0.35">
      <c r="A8" s="9">
        <v>1803</v>
      </c>
      <c r="B8" s="5">
        <v>20126.805100000001</v>
      </c>
      <c r="C8" s="5">
        <v>647.78740000000005</v>
      </c>
      <c r="D8" s="5">
        <v>18857.165099999998</v>
      </c>
      <c r="E8" s="5">
        <v>21396.445</v>
      </c>
      <c r="F8" s="5">
        <v>20242</v>
      </c>
      <c r="G8" s="11">
        <v>115.1949</v>
      </c>
    </row>
    <row r="9" spans="1:7" ht="15" thickBot="1" x14ac:dyDescent="0.35">
      <c r="A9" s="9">
        <v>1804</v>
      </c>
      <c r="B9" s="5">
        <v>20140.370900000002</v>
      </c>
      <c r="C9" s="5">
        <v>647.78740000000005</v>
      </c>
      <c r="D9" s="5">
        <v>18870.730899999999</v>
      </c>
      <c r="E9" s="5">
        <v>21410.0108</v>
      </c>
      <c r="F9" s="5">
        <v>19528</v>
      </c>
      <c r="G9" s="10">
        <v>-612.37090000000001</v>
      </c>
    </row>
    <row r="10" spans="1:7" ht="15" thickBot="1" x14ac:dyDescent="0.35">
      <c r="A10" s="9">
        <v>1805</v>
      </c>
      <c r="B10" s="5">
        <v>20066.930400000001</v>
      </c>
      <c r="C10" s="5">
        <v>647.78740000000005</v>
      </c>
      <c r="D10" s="5">
        <v>18797.290400000002</v>
      </c>
      <c r="E10" s="5">
        <v>21336.570299999999</v>
      </c>
      <c r="F10" s="5">
        <v>19762</v>
      </c>
      <c r="G10" s="10">
        <v>-304.93040000000002</v>
      </c>
    </row>
    <row r="11" spans="1:7" ht="15" thickBot="1" x14ac:dyDescent="0.35">
      <c r="A11" s="9">
        <v>1806</v>
      </c>
      <c r="B11" s="5">
        <v>20072.481599999999</v>
      </c>
      <c r="C11" s="5">
        <v>647.78740000000005</v>
      </c>
      <c r="D11" s="5">
        <v>18802.8416</v>
      </c>
      <c r="E11" s="5">
        <v>21342.121500000001</v>
      </c>
      <c r="F11" s="5">
        <v>20391</v>
      </c>
      <c r="G11" s="11">
        <v>318.51839999999999</v>
      </c>
    </row>
    <row r="12" spans="1:7" ht="15" thickBot="1" x14ac:dyDescent="0.35">
      <c r="A12" s="9">
        <v>1807</v>
      </c>
      <c r="B12" s="5">
        <v>20230.875199999999</v>
      </c>
      <c r="C12" s="5">
        <v>647.78740000000005</v>
      </c>
      <c r="D12" s="5">
        <v>18961.2353</v>
      </c>
      <c r="E12" s="5">
        <v>21500.515200000002</v>
      </c>
      <c r="F12" s="5">
        <v>20513</v>
      </c>
      <c r="G12" s="11">
        <v>282.12479999999999</v>
      </c>
    </row>
    <row r="13" spans="1:7" ht="15" thickBot="1" x14ac:dyDescent="0.35">
      <c r="A13" s="9">
        <v>1808</v>
      </c>
      <c r="B13" s="5">
        <v>20274.9041</v>
      </c>
      <c r="C13" s="5">
        <v>647.78740000000005</v>
      </c>
      <c r="D13" s="5">
        <v>19005.2641</v>
      </c>
      <c r="E13" s="5">
        <v>21544.544099999999</v>
      </c>
      <c r="F13" s="5">
        <v>20487</v>
      </c>
      <c r="G13" s="11">
        <v>212.0959</v>
      </c>
    </row>
    <row r="14" spans="1:7" ht="15" thickBot="1" x14ac:dyDescent="0.35">
      <c r="A14" s="9">
        <v>1809</v>
      </c>
      <c r="B14" s="5">
        <v>20289.413400000001</v>
      </c>
      <c r="C14" s="5">
        <v>647.78740000000005</v>
      </c>
      <c r="D14" s="5">
        <v>19019.773399999998</v>
      </c>
      <c r="E14" s="5">
        <v>21559.0533</v>
      </c>
      <c r="F14" s="5">
        <v>20863</v>
      </c>
      <c r="G14" s="11">
        <v>573.58659999999998</v>
      </c>
    </row>
    <row r="15" spans="1:7" ht="15" thickBot="1" x14ac:dyDescent="0.35">
      <c r="A15" s="9">
        <v>1810</v>
      </c>
      <c r="B15" s="5">
        <v>20442.9578</v>
      </c>
      <c r="C15" s="5">
        <v>647.78740000000005</v>
      </c>
      <c r="D15" s="5">
        <v>19173.317899999998</v>
      </c>
      <c r="E15" s="5">
        <v>21712.5978</v>
      </c>
      <c r="F15" s="5">
        <v>19184</v>
      </c>
      <c r="G15" s="10">
        <v>-1258.9577999999999</v>
      </c>
    </row>
    <row r="16" spans="1:7" ht="15" thickBot="1" x14ac:dyDescent="0.35">
      <c r="A16" s="9">
        <v>1811</v>
      </c>
      <c r="B16" s="5">
        <v>20223.432700000001</v>
      </c>
      <c r="C16" s="5">
        <v>647.78740000000005</v>
      </c>
      <c r="D16" s="5">
        <v>18953.792700000002</v>
      </c>
      <c r="E16" s="5">
        <v>21493.0726</v>
      </c>
      <c r="F16" s="5">
        <v>21770</v>
      </c>
      <c r="G16" s="11">
        <v>1546.5672999999999</v>
      </c>
    </row>
    <row r="17" spans="1:7" ht="15" thickBot="1" x14ac:dyDescent="0.35">
      <c r="A17" s="9">
        <v>1812</v>
      </c>
      <c r="B17" s="5">
        <v>20570.983800000002</v>
      </c>
      <c r="C17" s="5">
        <v>647.78740000000005</v>
      </c>
      <c r="D17" s="5">
        <v>19301.343799999999</v>
      </c>
      <c r="E17" s="5">
        <v>21840.6237</v>
      </c>
      <c r="F17" s="5">
        <v>21387</v>
      </c>
      <c r="G17" s="11">
        <v>816.01620000000003</v>
      </c>
    </row>
    <row r="18" spans="1:7" ht="15" thickBot="1" x14ac:dyDescent="0.35">
      <c r="A18" s="9">
        <v>1813</v>
      </c>
      <c r="B18" s="5">
        <v>20699.967700000001</v>
      </c>
      <c r="C18" s="5">
        <v>647.78740000000005</v>
      </c>
      <c r="D18" s="5">
        <v>19430.327799999999</v>
      </c>
      <c r="E18" s="5">
        <v>21969.6077</v>
      </c>
      <c r="F18" s="5">
        <v>20122</v>
      </c>
      <c r="G18" s="10">
        <v>-577.96770000000004</v>
      </c>
    </row>
    <row r="19" spans="1:7" ht="15" thickBot="1" x14ac:dyDescent="0.35">
      <c r="A19" s="9">
        <v>1814</v>
      </c>
      <c r="B19" s="5">
        <v>20447.516</v>
      </c>
      <c r="C19" s="5">
        <v>647.78740000000005</v>
      </c>
      <c r="D19" s="5">
        <v>19177.876</v>
      </c>
      <c r="E19" s="5">
        <v>21717.155999999999</v>
      </c>
      <c r="F19" s="5">
        <v>21357</v>
      </c>
      <c r="G19" s="11">
        <v>909.48400000000004</v>
      </c>
    </row>
    <row r="20" spans="1:7" ht="15" thickBot="1" x14ac:dyDescent="0.35">
      <c r="A20" s="9">
        <v>1815</v>
      </c>
      <c r="B20" s="5">
        <v>20664.470600000001</v>
      </c>
      <c r="C20" s="5">
        <v>647.78740000000005</v>
      </c>
      <c r="D20" s="5">
        <v>19394.830600000001</v>
      </c>
      <c r="E20" s="5">
        <v>21934.110499999999</v>
      </c>
      <c r="F20" s="5">
        <v>21506</v>
      </c>
      <c r="G20" s="11">
        <v>841.52940000000001</v>
      </c>
    </row>
    <row r="21" spans="1:7" ht="15" thickBot="1" x14ac:dyDescent="0.35">
      <c r="A21" s="9">
        <v>1816</v>
      </c>
      <c r="B21" s="5">
        <v>20900.5452</v>
      </c>
      <c r="C21" s="5">
        <v>647.78740000000005</v>
      </c>
      <c r="D21" s="5">
        <v>19630.905200000001</v>
      </c>
      <c r="E21" s="5">
        <v>22170.185099999999</v>
      </c>
      <c r="F21" s="5">
        <v>21614</v>
      </c>
      <c r="G21" s="11">
        <v>713.45479999999998</v>
      </c>
    </row>
    <row r="22" spans="1:7" ht="15" thickBot="1" x14ac:dyDescent="0.35">
      <c r="A22" s="9">
        <v>1817</v>
      </c>
      <c r="B22" s="5">
        <v>20870.629499999999</v>
      </c>
      <c r="C22" s="5">
        <v>647.78740000000005</v>
      </c>
      <c r="D22" s="5">
        <v>19600.9895</v>
      </c>
      <c r="E22" s="5">
        <v>22140.269499999999</v>
      </c>
      <c r="F22" s="5">
        <v>20652</v>
      </c>
      <c r="G22" s="10">
        <v>-218.62950000000001</v>
      </c>
    </row>
    <row r="23" spans="1:7" ht="15" thickBot="1" x14ac:dyDescent="0.35">
      <c r="A23" s="9">
        <v>1818</v>
      </c>
      <c r="B23" s="5">
        <v>20748.604299999999</v>
      </c>
      <c r="C23" s="5">
        <v>647.78740000000005</v>
      </c>
      <c r="D23" s="5">
        <v>19478.9643</v>
      </c>
      <c r="E23" s="5">
        <v>22018.244299999998</v>
      </c>
      <c r="F23" s="5">
        <v>19781</v>
      </c>
      <c r="G23" s="10">
        <v>-967.60429999999997</v>
      </c>
    </row>
    <row r="24" spans="1:7" ht="15" thickBot="1" x14ac:dyDescent="0.35">
      <c r="A24" s="9">
        <v>1819</v>
      </c>
      <c r="B24" s="5">
        <v>20607.4126</v>
      </c>
      <c r="C24" s="5">
        <v>647.78740000000005</v>
      </c>
      <c r="D24" s="5">
        <v>19337.7726</v>
      </c>
      <c r="E24" s="5">
        <v>21877.052500000002</v>
      </c>
      <c r="F24" s="5">
        <v>20637</v>
      </c>
      <c r="G24" s="11">
        <v>29.587399999999999</v>
      </c>
    </row>
    <row r="25" spans="1:7" ht="15" thickBot="1" x14ac:dyDescent="0.35">
      <c r="A25" s="9">
        <v>1820</v>
      </c>
      <c r="B25" s="5">
        <v>20652.573700000001</v>
      </c>
      <c r="C25" s="5">
        <v>647.78740000000005</v>
      </c>
      <c r="D25" s="5">
        <v>19382.933700000001</v>
      </c>
      <c r="E25" s="5">
        <v>21922.2137</v>
      </c>
      <c r="F25" s="5">
        <v>20793</v>
      </c>
      <c r="G25" s="11">
        <v>140.4263</v>
      </c>
    </row>
    <row r="26" spans="1:7" ht="15" thickBot="1" x14ac:dyDescent="0.35">
      <c r="A26" s="9">
        <v>1821</v>
      </c>
      <c r="B26" s="5">
        <v>20636.885999999999</v>
      </c>
      <c r="C26" s="5">
        <v>647.78740000000005</v>
      </c>
      <c r="D26" s="5">
        <v>19367.245999999999</v>
      </c>
      <c r="E26" s="5">
        <v>21906.525900000001</v>
      </c>
      <c r="F26" s="5">
        <v>20166</v>
      </c>
      <c r="G26" s="10">
        <v>-470.88600000000002</v>
      </c>
    </row>
    <row r="27" spans="1:7" ht="15" thickBot="1" x14ac:dyDescent="0.35">
      <c r="A27" s="9">
        <v>1822</v>
      </c>
      <c r="B27" s="5">
        <v>20434.6024</v>
      </c>
      <c r="C27" s="5">
        <v>647.78740000000005</v>
      </c>
      <c r="D27" s="5">
        <v>19164.9624</v>
      </c>
      <c r="E27" s="5">
        <v>21704.242399999999</v>
      </c>
      <c r="F27" s="5">
        <v>21990</v>
      </c>
      <c r="G27" s="11">
        <v>1555.3976</v>
      </c>
    </row>
    <row r="28" spans="1:7" x14ac:dyDescent="0.3">
      <c r="A28" s="12">
        <v>1823</v>
      </c>
      <c r="B28" s="13">
        <v>20744.983100000001</v>
      </c>
      <c r="C28" s="13">
        <v>647.78740000000005</v>
      </c>
      <c r="D28" s="13">
        <v>19475.343099999998</v>
      </c>
      <c r="E28" s="13">
        <v>22014.623</v>
      </c>
      <c r="F28" s="13">
        <v>19726</v>
      </c>
      <c r="G28" s="17">
        <v>-1018.9831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BEC7-EB8D-4F70-B9B3-7B5F2F04DF32}">
  <dimension ref="A1:G35"/>
  <sheetViews>
    <sheetView workbookViewId="0">
      <selection activeCell="B1" sqref="B1:B35"/>
    </sheetView>
  </sheetViews>
  <sheetFormatPr defaultRowHeight="14.4" x14ac:dyDescent="0.3"/>
  <sheetData>
    <row r="1" spans="1:7" ht="15" thickBot="1" x14ac:dyDescent="0.35">
      <c r="A1" s="6">
        <v>1796</v>
      </c>
      <c r="B1" s="7">
        <v>20190.197499999998</v>
      </c>
      <c r="C1" s="7">
        <v>714.25229999999999</v>
      </c>
      <c r="D1" s="7">
        <v>18790.288700000001</v>
      </c>
      <c r="E1" s="7">
        <v>21590.106400000001</v>
      </c>
      <c r="F1" s="7">
        <v>19481</v>
      </c>
      <c r="G1" s="15">
        <v>-709.19749999999999</v>
      </c>
    </row>
    <row r="2" spans="1:7" ht="15" thickBot="1" x14ac:dyDescent="0.35">
      <c r="A2" s="9">
        <v>1797</v>
      </c>
      <c r="B2" s="5">
        <v>19966.784899999999</v>
      </c>
      <c r="C2" s="5">
        <v>714.25229999999999</v>
      </c>
      <c r="D2" s="5">
        <v>18566.876</v>
      </c>
      <c r="E2" s="5">
        <v>21366.693800000001</v>
      </c>
      <c r="F2" s="5">
        <v>19123</v>
      </c>
      <c r="G2" s="10">
        <v>-843.78489999999999</v>
      </c>
    </row>
    <row r="3" spans="1:7" ht="15" thickBot="1" x14ac:dyDescent="0.35">
      <c r="A3" s="9">
        <v>1798</v>
      </c>
      <c r="B3" s="5">
        <v>19681.5422</v>
      </c>
      <c r="C3" s="5">
        <v>714.25229999999999</v>
      </c>
      <c r="D3" s="5">
        <v>18281.633399999999</v>
      </c>
      <c r="E3" s="5">
        <v>21081.451099999998</v>
      </c>
      <c r="F3" s="5">
        <v>20875</v>
      </c>
      <c r="G3" s="11">
        <v>1193.4577999999999</v>
      </c>
    </row>
    <row r="4" spans="1:7" ht="15" thickBot="1" x14ac:dyDescent="0.35">
      <c r="A4" s="9">
        <v>1799</v>
      </c>
      <c r="B4" s="5">
        <v>20135.063600000001</v>
      </c>
      <c r="C4" s="5">
        <v>714.25229999999999</v>
      </c>
      <c r="D4" s="5">
        <v>18735.154699999999</v>
      </c>
      <c r="E4" s="5">
        <v>21534.972399999999</v>
      </c>
      <c r="F4" s="5">
        <v>19154</v>
      </c>
      <c r="G4" s="10">
        <v>-981.06359999999995</v>
      </c>
    </row>
    <row r="5" spans="1:7" ht="15" thickBot="1" x14ac:dyDescent="0.35">
      <c r="A5" s="9">
        <v>1800</v>
      </c>
      <c r="B5" s="5">
        <v>19866.787799999998</v>
      </c>
      <c r="C5" s="5">
        <v>714.25229999999999</v>
      </c>
      <c r="D5" s="5">
        <v>18466.8789</v>
      </c>
      <c r="E5" s="5">
        <v>21266.6967</v>
      </c>
      <c r="F5" s="5">
        <v>19872</v>
      </c>
      <c r="G5" s="11">
        <v>5.2122000000000002</v>
      </c>
    </row>
    <row r="6" spans="1:7" ht="15" thickBot="1" x14ac:dyDescent="0.35">
      <c r="A6" s="9">
        <v>1801</v>
      </c>
      <c r="B6" s="5">
        <v>19866.2402</v>
      </c>
      <c r="C6" s="5">
        <v>714.25229999999999</v>
      </c>
      <c r="D6" s="5">
        <v>18466.331300000002</v>
      </c>
      <c r="E6" s="5">
        <v>21266.149000000001</v>
      </c>
      <c r="F6" s="5">
        <v>19441</v>
      </c>
      <c r="G6" s="10">
        <v>-425.24020000000002</v>
      </c>
    </row>
    <row r="7" spans="1:7" ht="15" thickBot="1" x14ac:dyDescent="0.35">
      <c r="A7" s="9">
        <v>1802</v>
      </c>
      <c r="B7" s="5">
        <v>19857.935799999999</v>
      </c>
      <c r="C7" s="5">
        <v>714.25229999999999</v>
      </c>
      <c r="D7" s="5">
        <v>18458.026999999998</v>
      </c>
      <c r="E7" s="5">
        <v>21257.844700000001</v>
      </c>
      <c r="F7" s="5">
        <v>20031</v>
      </c>
      <c r="G7" s="11">
        <v>173.0642</v>
      </c>
    </row>
    <row r="8" spans="1:7" ht="15" thickBot="1" x14ac:dyDescent="0.35">
      <c r="A8" s="9">
        <v>1803</v>
      </c>
      <c r="B8" s="5">
        <v>19939.817500000001</v>
      </c>
      <c r="C8" s="5">
        <v>714.25229999999999</v>
      </c>
      <c r="D8" s="5">
        <v>18539.9087</v>
      </c>
      <c r="E8" s="5">
        <v>21339.7264</v>
      </c>
      <c r="F8" s="5">
        <v>20242</v>
      </c>
      <c r="G8" s="11">
        <v>302.1825</v>
      </c>
    </row>
    <row r="9" spans="1:7" ht="15" thickBot="1" x14ac:dyDescent="0.35">
      <c r="A9" s="9">
        <v>1804</v>
      </c>
      <c r="B9" s="5">
        <v>20020.4247</v>
      </c>
      <c r="C9" s="5">
        <v>714.25229999999999</v>
      </c>
      <c r="D9" s="5">
        <v>18620.515899999999</v>
      </c>
      <c r="E9" s="5">
        <v>21420.333600000002</v>
      </c>
      <c r="F9" s="5">
        <v>19528</v>
      </c>
      <c r="G9" s="10">
        <v>-492.42469999999997</v>
      </c>
    </row>
    <row r="10" spans="1:7" ht="15" thickBot="1" x14ac:dyDescent="0.35">
      <c r="A10" s="9">
        <v>1805</v>
      </c>
      <c r="B10" s="5">
        <v>19892.173699999999</v>
      </c>
      <c r="C10" s="5">
        <v>714.25229999999999</v>
      </c>
      <c r="D10" s="5">
        <v>18492.264800000001</v>
      </c>
      <c r="E10" s="5">
        <v>21292.082600000002</v>
      </c>
      <c r="F10" s="5">
        <v>19762</v>
      </c>
      <c r="G10" s="10">
        <v>-130.1737</v>
      </c>
    </row>
    <row r="11" spans="1:7" ht="15" thickBot="1" x14ac:dyDescent="0.35">
      <c r="A11" s="9">
        <v>1806</v>
      </c>
      <c r="B11" s="5">
        <v>19893.966799999998</v>
      </c>
      <c r="C11" s="5">
        <v>714.25229999999999</v>
      </c>
      <c r="D11" s="5">
        <v>18494.0579</v>
      </c>
      <c r="E11" s="5">
        <v>21293.875700000001</v>
      </c>
      <c r="F11" s="5">
        <v>20391</v>
      </c>
      <c r="G11" s="11">
        <v>497.03320000000002</v>
      </c>
    </row>
    <row r="12" spans="1:7" ht="15" thickBot="1" x14ac:dyDescent="0.35">
      <c r="A12" s="9">
        <v>1807</v>
      </c>
      <c r="B12" s="5">
        <v>20101.244900000002</v>
      </c>
      <c r="C12" s="5">
        <v>714.25229999999999</v>
      </c>
      <c r="D12" s="5">
        <v>18701.335999999999</v>
      </c>
      <c r="E12" s="5">
        <v>21501.1538</v>
      </c>
      <c r="F12" s="5">
        <v>20513</v>
      </c>
      <c r="G12" s="11">
        <v>411.75510000000003</v>
      </c>
    </row>
    <row r="13" spans="1:7" ht="15" thickBot="1" x14ac:dyDescent="0.35">
      <c r="A13" s="9">
        <v>1808</v>
      </c>
      <c r="B13" s="5">
        <v>20192.705900000001</v>
      </c>
      <c r="C13" s="5">
        <v>714.25229999999999</v>
      </c>
      <c r="D13" s="5">
        <v>18792.796999999999</v>
      </c>
      <c r="E13" s="5">
        <v>21592.614799999999</v>
      </c>
      <c r="F13" s="5">
        <v>20487</v>
      </c>
      <c r="G13" s="11">
        <v>294.29410000000001</v>
      </c>
    </row>
    <row r="14" spans="1:7" ht="15" thickBot="1" x14ac:dyDescent="0.35">
      <c r="A14" s="9">
        <v>1809</v>
      </c>
      <c r="B14" s="5">
        <v>20239.509600000001</v>
      </c>
      <c r="C14" s="5">
        <v>714.25229999999999</v>
      </c>
      <c r="D14" s="5">
        <v>18839.600699999999</v>
      </c>
      <c r="E14" s="5">
        <v>21639.418399999999</v>
      </c>
      <c r="F14" s="5">
        <v>20863</v>
      </c>
      <c r="G14" s="11">
        <v>623.49040000000002</v>
      </c>
    </row>
    <row r="15" spans="1:7" ht="15" thickBot="1" x14ac:dyDescent="0.35">
      <c r="A15" s="9">
        <v>1810</v>
      </c>
      <c r="B15" s="5">
        <v>20433.4751</v>
      </c>
      <c r="C15" s="5">
        <v>714.25229999999999</v>
      </c>
      <c r="D15" s="5">
        <v>19033.566299999999</v>
      </c>
      <c r="E15" s="5">
        <v>21833.383999999998</v>
      </c>
      <c r="F15" s="5">
        <v>19184</v>
      </c>
      <c r="G15" s="10">
        <v>-1249.4751000000001</v>
      </c>
    </row>
    <row r="16" spans="1:7" ht="15" thickBot="1" x14ac:dyDescent="0.35">
      <c r="A16" s="9">
        <v>1811</v>
      </c>
      <c r="B16" s="5">
        <v>20067.666499999999</v>
      </c>
      <c r="C16" s="5">
        <v>714.25229999999999</v>
      </c>
      <c r="D16" s="5">
        <v>18667.757699999998</v>
      </c>
      <c r="E16" s="5">
        <v>21467.575400000002</v>
      </c>
      <c r="F16" s="5">
        <v>21770</v>
      </c>
      <c r="G16" s="11">
        <v>1702.3335</v>
      </c>
    </row>
    <row r="17" spans="1:7" ht="15" thickBot="1" x14ac:dyDescent="0.35">
      <c r="A17" s="9">
        <v>1812</v>
      </c>
      <c r="B17" s="5">
        <v>20582.409800000001</v>
      </c>
      <c r="C17" s="5">
        <v>714.25229999999999</v>
      </c>
      <c r="D17" s="5">
        <v>19182.500899999999</v>
      </c>
      <c r="E17" s="5">
        <v>21982.3187</v>
      </c>
      <c r="F17" s="5">
        <v>21387</v>
      </c>
      <c r="G17" s="11">
        <v>804.59019999999998</v>
      </c>
    </row>
    <row r="18" spans="1:7" ht="15" thickBot="1" x14ac:dyDescent="0.35">
      <c r="A18" s="9">
        <v>1813</v>
      </c>
      <c r="B18" s="5">
        <v>20781.7556</v>
      </c>
      <c r="C18" s="5">
        <v>714.25229999999999</v>
      </c>
      <c r="D18" s="5">
        <v>19381.846699999998</v>
      </c>
      <c r="E18" s="5">
        <v>22181.664499999999</v>
      </c>
      <c r="F18" s="5">
        <v>20122</v>
      </c>
      <c r="G18" s="10">
        <v>-659.75559999999996</v>
      </c>
    </row>
    <row r="19" spans="1:7" ht="15" thickBot="1" x14ac:dyDescent="0.35">
      <c r="A19" s="9">
        <v>1814</v>
      </c>
      <c r="B19" s="5">
        <v>20442.813300000002</v>
      </c>
      <c r="C19" s="5">
        <v>714.25229999999999</v>
      </c>
      <c r="D19" s="5">
        <v>19042.904500000001</v>
      </c>
      <c r="E19" s="5">
        <v>21842.7222</v>
      </c>
      <c r="F19" s="5">
        <v>21357</v>
      </c>
      <c r="G19" s="11">
        <v>914.18669999999997</v>
      </c>
    </row>
    <row r="20" spans="1:7" ht="15" thickBot="1" x14ac:dyDescent="0.35">
      <c r="A20" s="9">
        <v>1815</v>
      </c>
      <c r="B20" s="5">
        <v>20737.516100000001</v>
      </c>
      <c r="C20" s="5">
        <v>714.25229999999999</v>
      </c>
      <c r="D20" s="5">
        <v>19337.607199999999</v>
      </c>
      <c r="E20" s="5">
        <v>22137.424999999999</v>
      </c>
      <c r="F20" s="5">
        <v>21506</v>
      </c>
      <c r="G20" s="11">
        <v>768.48389999999995</v>
      </c>
    </row>
    <row r="21" spans="1:7" ht="15" thickBot="1" x14ac:dyDescent="0.35">
      <c r="A21" s="9">
        <v>1816</v>
      </c>
      <c r="B21" s="5">
        <v>20993.780299999999</v>
      </c>
      <c r="C21" s="5">
        <v>714.25229999999999</v>
      </c>
      <c r="D21" s="5">
        <v>19593.8714</v>
      </c>
      <c r="E21" s="5">
        <v>22393.6891</v>
      </c>
      <c r="F21" s="5">
        <v>21614</v>
      </c>
      <c r="G21" s="11">
        <v>620.21969999999999</v>
      </c>
    </row>
    <row r="22" spans="1:7" ht="15" thickBot="1" x14ac:dyDescent="0.35">
      <c r="A22" s="9">
        <v>1817</v>
      </c>
      <c r="B22" s="5">
        <v>21018.751499999998</v>
      </c>
      <c r="C22" s="5">
        <v>714.25229999999999</v>
      </c>
      <c r="D22" s="5">
        <v>19618.8426</v>
      </c>
      <c r="E22" s="5">
        <v>22418.6603</v>
      </c>
      <c r="F22" s="5">
        <v>20652</v>
      </c>
      <c r="G22" s="10">
        <v>-366.75150000000002</v>
      </c>
    </row>
    <row r="23" spans="1:7" ht="15" thickBot="1" x14ac:dyDescent="0.35">
      <c r="A23" s="9">
        <v>1818</v>
      </c>
      <c r="B23" s="5">
        <v>20841.136699999999</v>
      </c>
      <c r="C23" s="5">
        <v>714.25229999999999</v>
      </c>
      <c r="D23" s="5">
        <v>19441.227800000001</v>
      </c>
      <c r="E23" s="5">
        <v>22241.045600000001</v>
      </c>
      <c r="F23" s="5">
        <v>19781</v>
      </c>
      <c r="G23" s="10">
        <v>-1060.1367</v>
      </c>
    </row>
    <row r="24" spans="1:7" ht="15" thickBot="1" x14ac:dyDescent="0.35">
      <c r="A24" s="9">
        <v>1819</v>
      </c>
      <c r="B24" s="5">
        <v>20553.441900000002</v>
      </c>
      <c r="C24" s="5">
        <v>714.25229999999999</v>
      </c>
      <c r="D24" s="5">
        <v>19153.533100000001</v>
      </c>
      <c r="E24" s="5">
        <v>21953.3508</v>
      </c>
      <c r="F24" s="5">
        <v>20637</v>
      </c>
      <c r="G24" s="11">
        <v>83.558099999999996</v>
      </c>
    </row>
    <row r="25" spans="1:7" ht="15" thickBot="1" x14ac:dyDescent="0.35">
      <c r="A25" s="9">
        <v>1820</v>
      </c>
      <c r="B25" s="5">
        <v>20609.3773</v>
      </c>
      <c r="C25" s="5">
        <v>714.25229999999999</v>
      </c>
      <c r="D25" s="5">
        <v>19209.468400000002</v>
      </c>
      <c r="E25" s="5">
        <v>22009.286199999999</v>
      </c>
      <c r="F25" s="5">
        <v>20793</v>
      </c>
      <c r="G25" s="11">
        <v>183.62270000000001</v>
      </c>
    </row>
    <row r="26" spans="1:7" ht="15" thickBot="1" x14ac:dyDescent="0.35">
      <c r="A26" s="9">
        <v>1821</v>
      </c>
      <c r="B26" s="5">
        <v>20628.913199999999</v>
      </c>
      <c r="C26" s="5">
        <v>714.25229999999999</v>
      </c>
      <c r="D26" s="5">
        <v>19229.004300000001</v>
      </c>
      <c r="E26" s="5">
        <v>22028.822</v>
      </c>
      <c r="F26" s="5">
        <v>20166</v>
      </c>
      <c r="G26" s="10">
        <v>-462.91320000000002</v>
      </c>
    </row>
    <row r="27" spans="1:7" ht="15" thickBot="1" x14ac:dyDescent="0.35">
      <c r="A27" s="9">
        <v>1822</v>
      </c>
      <c r="B27" s="5">
        <v>20404.128000000001</v>
      </c>
      <c r="C27" s="5">
        <v>714.25229999999999</v>
      </c>
      <c r="D27" s="5">
        <v>19004.219099999998</v>
      </c>
      <c r="E27" s="5">
        <v>21804.036899999999</v>
      </c>
      <c r="F27" s="5">
        <v>21990</v>
      </c>
      <c r="G27" s="11">
        <v>1585.8720000000001</v>
      </c>
    </row>
    <row r="28" spans="1:7" ht="15" thickBot="1" x14ac:dyDescent="0.35">
      <c r="A28" s="9">
        <v>1823</v>
      </c>
      <c r="B28" s="5">
        <v>20874.032800000001</v>
      </c>
      <c r="C28" s="5">
        <v>714.25229999999999</v>
      </c>
      <c r="D28" s="5">
        <v>19474.124</v>
      </c>
      <c r="E28" s="5">
        <v>22273.941699999999</v>
      </c>
      <c r="F28" s="5">
        <v>19726</v>
      </c>
      <c r="G28" s="10">
        <v>-1148.0328</v>
      </c>
    </row>
    <row r="29" spans="1:7" ht="15" thickBot="1" x14ac:dyDescent="0.35">
      <c r="A29" s="9">
        <v>1824</v>
      </c>
      <c r="B29" s="5">
        <v>20532.680499999999</v>
      </c>
      <c r="C29" s="5">
        <v>714.25229999999999</v>
      </c>
      <c r="D29" s="5">
        <v>19132.7716</v>
      </c>
      <c r="E29" s="5">
        <v>21932.589400000001</v>
      </c>
      <c r="F29" s="5" t="s">
        <v>2</v>
      </c>
      <c r="G29" s="11" t="s">
        <v>2</v>
      </c>
    </row>
    <row r="30" spans="1:7" ht="15" thickBot="1" x14ac:dyDescent="0.35">
      <c r="A30" s="9">
        <v>1825</v>
      </c>
      <c r="B30" s="5">
        <v>20511.3436</v>
      </c>
      <c r="C30" s="5">
        <v>742.81370000000004</v>
      </c>
      <c r="D30" s="5">
        <v>19055.455600000001</v>
      </c>
      <c r="E30" s="5">
        <v>21967.231599999999</v>
      </c>
      <c r="F30" s="5" t="s">
        <v>2</v>
      </c>
      <c r="G30" s="11" t="s">
        <v>2</v>
      </c>
    </row>
    <row r="31" spans="1:7" ht="15" thickBot="1" x14ac:dyDescent="0.35">
      <c r="A31" s="9">
        <v>1826</v>
      </c>
      <c r="B31" s="5">
        <v>20590.957299999998</v>
      </c>
      <c r="C31" s="5">
        <v>762.77750000000003</v>
      </c>
      <c r="D31" s="5">
        <v>19095.9408</v>
      </c>
      <c r="E31" s="5">
        <v>22085.9738</v>
      </c>
      <c r="F31" s="5" t="s">
        <v>2</v>
      </c>
      <c r="G31" s="11" t="s">
        <v>2</v>
      </c>
    </row>
    <row r="32" spans="1:7" ht="15" thickBot="1" x14ac:dyDescent="0.35">
      <c r="A32" s="9">
        <v>1827</v>
      </c>
      <c r="B32" s="5">
        <v>20558.313600000001</v>
      </c>
      <c r="C32" s="5">
        <v>777.15830000000005</v>
      </c>
      <c r="D32" s="5">
        <v>19035.1113</v>
      </c>
      <c r="E32" s="5">
        <v>22081.515800000001</v>
      </c>
      <c r="F32" s="5" t="s">
        <v>2</v>
      </c>
      <c r="G32" s="11" t="s">
        <v>2</v>
      </c>
    </row>
    <row r="33" spans="1:7" ht="15" thickBot="1" x14ac:dyDescent="0.35">
      <c r="A33" s="9">
        <v>1828</v>
      </c>
      <c r="B33" s="5">
        <v>20508.657899999998</v>
      </c>
      <c r="C33" s="5">
        <v>795.65589999999997</v>
      </c>
      <c r="D33" s="5">
        <v>18949.201000000001</v>
      </c>
      <c r="E33" s="5">
        <v>22068.1149</v>
      </c>
      <c r="F33" s="5" t="s">
        <v>2</v>
      </c>
      <c r="G33" s="11" t="s">
        <v>2</v>
      </c>
    </row>
    <row r="34" spans="1:7" ht="15" thickBot="1" x14ac:dyDescent="0.35">
      <c r="A34" s="9">
        <v>1829</v>
      </c>
      <c r="B34" s="5">
        <v>20540.496299999999</v>
      </c>
      <c r="C34" s="5">
        <v>812.5883</v>
      </c>
      <c r="D34" s="5">
        <v>18947.852599999998</v>
      </c>
      <c r="E34" s="5">
        <v>22133.14</v>
      </c>
      <c r="F34" s="5" t="s">
        <v>2</v>
      </c>
      <c r="G34" s="11" t="s">
        <v>2</v>
      </c>
    </row>
    <row r="35" spans="1:7" x14ac:dyDescent="0.3">
      <c r="A35" s="12">
        <v>1830</v>
      </c>
      <c r="B35" s="13">
        <v>20546.5386</v>
      </c>
      <c r="C35" s="13">
        <v>823.73599999999999</v>
      </c>
      <c r="D35" s="13">
        <v>18932.045600000001</v>
      </c>
      <c r="E35" s="13">
        <v>22161.031500000001</v>
      </c>
      <c r="F35" s="13" t="s">
        <v>2</v>
      </c>
      <c r="G35" s="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comparision</vt:lpstr>
      <vt:lpstr>Seasonal model comparision</vt:lpstr>
      <vt:lpstr>Future Forecast</vt:lpstr>
      <vt:lpstr>S Model with A_L Predictions</vt:lpstr>
      <vt:lpstr>S Model Without A_L Predictions</vt:lpstr>
      <vt:lpstr>Model with A_L Predictions</vt:lpstr>
      <vt:lpstr>Model without A_L 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Christin</dc:creator>
  <cp:lastModifiedBy>Knight, Christin</cp:lastModifiedBy>
  <dcterms:created xsi:type="dcterms:W3CDTF">2025-11-14T04:03:55Z</dcterms:created>
  <dcterms:modified xsi:type="dcterms:W3CDTF">2025-11-17T07:49:30Z</dcterms:modified>
</cp:coreProperties>
</file>